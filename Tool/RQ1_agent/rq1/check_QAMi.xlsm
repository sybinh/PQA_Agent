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526" codeName="{899C9086-67A9-5B14-2C2D-5A8001700F7D}"/>
  <workbookPr codeName="ThisWorkbook"/>
  <mc:AlternateContent xmlns:mc="http://schemas.openxmlformats.org/markup-compatibility/2006">
    <mc:Choice Requires="x15">
      <x15ac:absPath xmlns:x15ac="http://schemas.microsoft.com/office/spreadsheetml/2010/11/ac" url="C:\Users\DAB5HC\Documents\Documents\workspace\Tool\RQ1_agent\rq1\"/>
    </mc:Choice>
  </mc:AlternateContent>
  <xr:revisionPtr revIDLastSave="0" documentId="13_ncr:1_{A9DF2201-BA7A-4545-B1F2-A5B4A9C44674}" xr6:coauthVersionLast="47" xr6:coauthVersionMax="47" xr10:uidLastSave="{00000000-0000-0000-0000-000000000000}"/>
  <bookViews>
    <workbookView xWindow="-57720" yWindow="-120" windowWidth="29040" windowHeight="15720" tabRatio="786" xr2:uid="{00000000-000D-0000-FFFF-FFFF00000000}"/>
  </bookViews>
  <sheets>
    <sheet name="Main" sheetId="19" r:id="rId1"/>
    <sheet name="GetInfo" sheetId="30" r:id="rId2"/>
    <sheet name="Kanban_Format" sheetId="14" r:id="rId3"/>
    <sheet name="Summary" sheetId="15" r:id="rId4"/>
    <sheet name="Issue" sheetId="11" r:id="rId5"/>
    <sheet name="Release" sheetId="12" r:id="rId6"/>
    <sheet name="WorkItem" sheetId="13" r:id="rId7"/>
    <sheet name="Estimate_vs_Booked" sheetId="27" r:id="rId8"/>
    <sheet name="DFM_Report" sheetId="28" r:id="rId9"/>
    <sheet name="PromicsData" sheetId="26" r:id="rId10"/>
    <sheet name="ChangeHistory" sheetId="17" r:id="rId11"/>
    <sheet name="ColorCoding" sheetId="18" r:id="rId12"/>
    <sheet name="Sheet1" sheetId="24" state="hidden" r:id="rId13"/>
    <sheet name="Help" sheetId="29" r:id="rId14"/>
  </sheets>
  <functionGroups builtInGroupCount="19"/>
  <definedNames>
    <definedName name="_xlnm._FilterDatabase" localSheetId="8" hidden="1">DFM_Report!$A$3:$AE$3</definedName>
    <definedName name="_xlnm._FilterDatabase" localSheetId="4" hidden="1">Issue!$A$2:$Y$127</definedName>
    <definedName name="_xlnm._FilterDatabase" localSheetId="2" hidden="1">Kanban_Format!$A$3:$M$111</definedName>
    <definedName name="_xlnm._FilterDatabase" localSheetId="9" hidden="1">PromicsData!$A$1:$Y$5</definedName>
    <definedName name="_xlnm._FilterDatabase" localSheetId="5" hidden="1">Release!$A$2:$M$327</definedName>
    <definedName name="_xlnm._FilterDatabase" localSheetId="6" hidden="1">WorkItem!$A$2:$K$214</definedName>
    <definedName name="_xlnm.Print_Titles" localSheetId="2">Kanban_Format!$1:$3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4" i="19" l="1"/>
  <c r="C5" i="27" l="1"/>
  <c r="D5" i="27" s="1"/>
  <c r="C4" i="27"/>
  <c r="D4" i="27" s="1"/>
  <c r="C3" i="27"/>
  <c r="D3" i="27" s="1"/>
  <c r="C2" i="27"/>
  <c r="D2" i="27" s="1"/>
  <c r="L7" i="19" l="1"/>
  <c r="K1" i="14" l="1"/>
  <c r="F1" i="14"/>
  <c r="A1" i="1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stt5kor</author>
  </authors>
  <commentList>
    <comment ref="L7" authorId="0" shapeId="0" xr:uid="{00000000-0006-0000-0000-000001000000}">
      <text>
        <r>
          <rPr>
            <b/>
            <sz val="9"/>
            <color indexed="81"/>
            <rFont val="Tahoma"/>
            <family val="2"/>
          </rPr>
          <t>h:mm:ss</t>
        </r>
        <r>
          <rPr>
            <sz val="9"/>
            <color indexed="81"/>
            <rFont val="Tahoma"/>
            <family val="2"/>
          </rPr>
          <t xml:space="preserve">
</t>
        </r>
      </text>
    </comment>
    <comment ref="C9" authorId="0" shapeId="0" xr:uid="{00000000-0006-0000-0000-000002000000}">
      <text>
        <r>
          <rPr>
            <sz val="9"/>
            <color indexed="81"/>
            <rFont val="Tahoma"/>
            <family val="2"/>
          </rPr>
          <t>Please use ',' as separator for multiple projects like Example: RQONE00000019,RQONE00004415</t>
        </r>
      </text>
    </comment>
    <comment ref="C10" authorId="0" shapeId="0" xr:uid="{00000000-0006-0000-0000-000003000000}">
      <text>
        <r>
          <rPr>
            <sz val="9"/>
            <color indexed="81"/>
            <rFont val="Tahoma"/>
            <family val="2"/>
          </rPr>
          <t xml:space="preserve">=&gt; Enter Assignee name here either partial or full. Allowed multiple assignee names with separator ',' </t>
        </r>
        <r>
          <rPr>
            <b/>
            <sz val="9"/>
            <color indexed="81"/>
            <rFont val="Tahoma"/>
            <family val="2"/>
          </rPr>
          <t>Ex:</t>
        </r>
        <r>
          <rPr>
            <sz val="9"/>
            <color indexed="81"/>
            <rFont val="Tahoma"/>
            <family val="2"/>
          </rPr>
          <t xml:space="preserve"> Swamy,Vinayaka
=&gt; Leave Assignee field blank to generate complete list
</t>
        </r>
      </text>
    </comment>
    <comment ref="C11" authorId="0" shapeId="0" xr:uid="{00000000-0006-0000-0000-000004000000}">
      <text>
        <r>
          <rPr>
            <sz val="9"/>
            <color indexed="81"/>
            <rFont val="Tahoma"/>
            <family val="2"/>
          </rPr>
          <t xml:space="preserve">=&gt; Enter Customer name here either partial or full. Allowed multiple customer names with separator ',' </t>
        </r>
        <r>
          <rPr>
            <b/>
            <sz val="9"/>
            <color indexed="81"/>
            <rFont val="Tahoma"/>
            <family val="2"/>
          </rPr>
          <t>Ex:</t>
        </r>
        <r>
          <rPr>
            <sz val="9"/>
            <color indexed="81"/>
            <rFont val="Tahoma"/>
            <family val="2"/>
          </rPr>
          <t xml:space="preserve"> Ford,VW
=&gt; Leave Customer field blank to generate complete list
</t>
        </r>
      </text>
    </comment>
    <comment ref="C12" authorId="0" shapeId="0" xr:uid="{00000000-0006-0000-0000-000005000000}">
      <text>
        <r>
          <rPr>
            <sz val="9"/>
            <color indexed="81"/>
            <rFont val="Tahoma"/>
            <family val="2"/>
          </rPr>
          <t xml:space="preserve">1. By default, It is "No".
2. Change the value to "Yes", If you want to trigger an email to assignee in case of deviations
3. Email will be send only for RQ1 evaluation deviations
</t>
        </r>
      </text>
    </comment>
    <comment ref="G12" authorId="0" shapeId="0" xr:uid="{00000000-0006-0000-0000-000006000000}">
      <text>
        <r>
          <rPr>
            <sz val="9"/>
            <color indexed="81"/>
            <rFont val="Tahoma"/>
            <family val="2"/>
          </rPr>
          <t>Generate Report for Issues, releases and workitems which are submitted after this date</t>
        </r>
      </text>
    </comment>
    <comment ref="C13" authorId="0" shapeId="0" xr:uid="{00000000-0006-0000-0000-000007000000}">
      <text>
        <r>
          <rPr>
            <sz val="9"/>
            <color indexed="81"/>
            <rFont val="Tahoma"/>
            <family val="2"/>
          </rPr>
          <t xml:space="preserve">=&gt; Add names of persons to whom you would like to keep CC with separator ';'
=&gt; </t>
        </r>
        <r>
          <rPr>
            <b/>
            <sz val="9"/>
            <color indexed="81"/>
            <rFont val="Tahoma"/>
            <family val="2"/>
          </rPr>
          <t>Ex:</t>
        </r>
        <r>
          <rPr>
            <sz val="9"/>
            <color indexed="81"/>
            <rFont val="Tahoma"/>
            <family val="2"/>
          </rPr>
          <t xml:space="preserve"> Sri VV Swamy Putta (RBEI/EEX1)</t>
        </r>
        <r>
          <rPr>
            <b/>
            <sz val="9"/>
            <color indexed="81"/>
            <rFont val="Tahoma"/>
            <family val="2"/>
          </rPr>
          <t>;</t>
        </r>
        <r>
          <rPr>
            <sz val="9"/>
            <color indexed="81"/>
            <rFont val="Tahoma"/>
            <family val="2"/>
          </rPr>
          <t>Sri VV Swamy Putta (RBEI/EEX1) or stt5kor;stt5kor
=&gt; Use either full outlook display name like above or Windows id</t>
        </r>
      </text>
    </comment>
    <comment ref="C14" authorId="0" shapeId="0" xr:uid="{00000000-0006-0000-0000-000008000000}">
      <text>
        <r>
          <rPr>
            <b/>
            <sz val="9"/>
            <color indexed="81"/>
            <rFont val="Tahoma"/>
            <family val="2"/>
          </rPr>
          <t>Generate Closed report from</t>
        </r>
        <r>
          <rPr>
            <sz val="9"/>
            <color indexed="81"/>
            <rFont val="Tahoma"/>
            <family val="2"/>
          </rPr>
          <t xml:space="preserve">
</t>
        </r>
      </text>
    </comment>
    <comment ref="G14" authorId="0" shapeId="0" xr:uid="{00000000-0006-0000-0000-000009000000}">
      <text>
        <r>
          <rPr>
            <b/>
            <sz val="9"/>
            <color indexed="81"/>
            <rFont val="Tahoma"/>
            <family val="2"/>
          </rPr>
          <t>Generate Closed report till</t>
        </r>
        <r>
          <rPr>
            <sz val="9"/>
            <color indexed="81"/>
            <rFont val="Tahoma"/>
            <family val="2"/>
          </rPr>
          <t xml:space="preserve">
</t>
        </r>
      </text>
    </comment>
    <comment ref="C18" authorId="0" shapeId="0" xr:uid="{00000000-0006-0000-0000-00000A000000}">
      <text>
        <r>
          <rPr>
            <sz val="9"/>
            <color indexed="81"/>
            <rFont val="Tahoma"/>
            <family val="2"/>
          </rPr>
          <t>RQ1 query will take more time</t>
        </r>
      </text>
    </comment>
    <comment ref="C19" authorId="0" shapeId="0" xr:uid="{00000000-0006-0000-0000-00000B000000}">
      <text>
        <r>
          <rPr>
            <sz val="9"/>
            <color indexed="81"/>
            <rFont val="Tahoma"/>
            <family val="2"/>
          </rPr>
          <t xml:space="preserve">RQ1 query will take more time
</t>
        </r>
      </text>
    </comment>
    <comment ref="C21" authorId="0" shapeId="0" xr:uid="{00000000-0006-0000-0000-00000C000000}">
      <text>
        <r>
          <rPr>
            <sz val="9"/>
            <color indexed="81"/>
            <rFont val="Tahoma"/>
            <family val="2"/>
          </rPr>
          <t xml:space="preserve">This check will not be performed if release state is "New" or "Conflicted" 
</t>
        </r>
      </text>
    </comment>
    <comment ref="C22" authorId="0" shapeId="0" xr:uid="{00000000-0006-0000-0000-00000D000000}">
      <text>
        <r>
          <rPr>
            <sz val="9"/>
            <color indexed="81"/>
            <rFont val="Tahoma"/>
            <family val="2"/>
          </rPr>
          <t xml:space="preserve">Only for BC releases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Pham Minh Quan (MS/EEU13-PS)</author>
  </authors>
  <commentList>
    <comment ref="C4" authorId="0" shapeId="0" xr:uid="{623DCE08-CEC3-4261-9C1B-EC57034BDF8C}">
      <text>
        <r>
          <rPr>
            <sz val="9"/>
            <color indexed="81"/>
            <rFont val="Tahoma"/>
            <family val="2"/>
          </rPr>
          <t xml:space="preserve">4. Issue is not committed, eventhough parent I-SW is committed
</t>
        </r>
      </text>
    </comment>
    <comment ref="H4" authorId="0" shapeId="0" xr:uid="{CC788B18-DBF6-4703-A1A7-1DCD63A05699}">
      <text>
        <r>
          <rPr>
            <sz val="9"/>
            <color indexed="81"/>
            <rFont val="Tahoma"/>
            <family val="2"/>
          </rPr>
          <t xml:space="preserve">9. BC-R is not in planned state 2 weeks before planned delivery date
</t>
        </r>
      </text>
    </comment>
    <comment ref="I4" authorId="0" shapeId="0" xr:uid="{1E3FC660-B89E-40AB-88D5-FAB92228B607}">
      <text>
        <r>
          <rPr>
            <sz val="9"/>
            <color indexed="81"/>
            <rFont val="Tahoma"/>
            <family val="2"/>
          </rPr>
          <t xml:space="preserve">5. Predecessor is not mapped to release
</t>
        </r>
      </text>
    </comment>
    <comment ref="J4" authorId="0" shapeId="0" xr:uid="{EC1CB74E-9002-4A2E-89D0-A7179C6ACA6A}">
      <text>
        <r>
          <rPr>
            <sz val="9"/>
            <color indexed="81"/>
            <rFont val="Tahoma"/>
            <family val="2"/>
          </rPr>
          <t xml:space="preserve">7. Release not closed after planned date
</t>
        </r>
      </text>
    </comment>
    <comment ref="C5" authorId="0" shapeId="0" xr:uid="{1EA47CE9-1CC5-4350-8A3A-976108ABFC44}">
      <text>
        <r>
          <rPr>
            <sz val="9"/>
            <color indexed="81"/>
            <rFont val="Tahoma"/>
            <family val="2"/>
          </rPr>
          <t xml:space="preserve">4. Issue is not committed, eventhough parent I-SW is committed
</t>
        </r>
      </text>
    </comment>
    <comment ref="F5" authorId="0" shapeId="0" xr:uid="{1508183D-CC81-4AA9-AF07-DAC5AD0BC1FB}">
      <text>
        <r>
          <rPr>
            <sz val="9"/>
            <color indexed="81"/>
            <rFont val="Tahoma"/>
            <family val="2"/>
          </rPr>
          <t xml:space="preserve">8. BC-R is not in requested state 4 weeks before planned delivery date
</t>
        </r>
      </text>
    </comment>
    <comment ref="I5" authorId="0" shapeId="0" xr:uid="{FC7E0642-231E-492A-BD52-72DF38AF5C00}">
      <text>
        <r>
          <rPr>
            <sz val="9"/>
            <color indexed="81"/>
            <rFont val="Tahoma"/>
            <family val="2"/>
          </rPr>
          <t xml:space="preserve">5. Predecessor is not mapped to release
</t>
        </r>
      </text>
    </comment>
    <comment ref="A6" authorId="0" shapeId="0" xr:uid="{F219BF7C-F23A-47EF-B0F6-5D427DA99D36}">
      <text>
        <r>
          <rPr>
            <sz val="9"/>
            <color indexed="81"/>
            <rFont val="Tahoma"/>
            <family val="2"/>
          </rPr>
          <t xml:space="preserve">1. I-FD 5 Day SLA breach
</t>
        </r>
      </text>
    </comment>
    <comment ref="M6" authorId="0" shapeId="0" xr:uid="{B86B69DF-EFA3-4516-94BC-F0600CE887AB}">
      <text>
        <r>
          <rPr>
            <sz val="9"/>
            <color indexed="81"/>
            <rFont val="Tahoma"/>
            <family val="2"/>
          </rPr>
          <t xml:space="preserve">14. WorkItem not closed after planned date
</t>
        </r>
      </text>
    </comment>
    <comment ref="F7" authorId="0" shapeId="0" xr:uid="{3F139BC5-3AE1-48AD-A0CE-3C08D421D762}">
      <text>
        <r>
          <rPr>
            <sz val="9"/>
            <color indexed="81"/>
            <rFont val="Tahoma"/>
            <family val="2"/>
          </rPr>
          <t xml:space="preserve">8. BC-R is not in requested state 4 weeks before planned delivery date
</t>
        </r>
      </text>
    </comment>
    <comment ref="H9" authorId="0" shapeId="0" xr:uid="{9B67E95D-07D6-4AD5-826A-43041DEA10E5}">
      <text>
        <r>
          <rPr>
            <sz val="9"/>
            <color indexed="81"/>
            <rFont val="Tahoma"/>
            <family val="2"/>
          </rPr>
          <t xml:space="preserve">9. BC-R is not in planned state 2 weeks before planned delivery date
11. BC-R planned date is within next 14 days
</t>
        </r>
      </text>
    </comment>
    <comment ref="M9" authorId="0" shapeId="0" xr:uid="{70C636A2-F53E-40BB-A639-CF082B748BB9}">
      <text>
        <r>
          <rPr>
            <sz val="9"/>
            <color indexed="81"/>
            <rFont val="Tahoma"/>
            <family val="2"/>
          </rPr>
          <t xml:space="preserve">14. WorkItem not closed after planned date
</t>
        </r>
      </text>
    </comment>
    <comment ref="M10" authorId="0" shapeId="0" xr:uid="{8FA6B429-93D5-4142-B895-660138260301}">
      <text>
        <r>
          <rPr>
            <sz val="9"/>
            <color indexed="81"/>
            <rFont val="Tahoma"/>
            <family val="2"/>
          </rPr>
          <t xml:space="preserve">14. WorkItem not closed after planned date
</t>
        </r>
      </text>
    </comment>
    <comment ref="A12" authorId="0" shapeId="0" xr:uid="{28BC5FD0-1CBA-4832-B4D8-766DD13229B0}">
      <text>
        <r>
          <rPr>
            <sz val="9"/>
            <color indexed="81"/>
            <rFont val="Tahoma"/>
            <family val="2"/>
          </rPr>
          <t xml:space="preserve">1. I-FD 5 Day SLA breach
</t>
        </r>
      </text>
    </comment>
    <comment ref="E12" authorId="0" shapeId="0" xr:uid="{A535B0F5-0895-4EA4-84F5-887511AFC862}">
      <text>
        <r>
          <rPr>
            <sz val="9"/>
            <color indexed="81"/>
            <rFont val="Tahoma"/>
            <family val="2"/>
          </rPr>
          <t xml:space="preserve">2. Issue is not closed even though all BC releases all closed or canceled
</t>
        </r>
      </text>
    </comment>
    <comment ref="H12" authorId="0" shapeId="0" xr:uid="{5ACB5BB5-2024-4788-91AC-03A4D97CF441}">
      <text>
        <r>
          <rPr>
            <sz val="9"/>
            <color indexed="81"/>
            <rFont val="Tahoma"/>
            <family val="2"/>
          </rPr>
          <t xml:space="preserve">11. BC-R planned date is within next 14 days
</t>
        </r>
      </text>
    </comment>
    <comment ref="E13" authorId="0" shapeId="0" xr:uid="{2372C2F0-007F-4DFF-9B2F-C300F96CD057}">
      <text>
        <r>
          <rPr>
            <sz val="9"/>
            <color indexed="81"/>
            <rFont val="Tahoma"/>
            <family val="2"/>
          </rPr>
          <t xml:space="preserve">16. All fields in Defect Flow Model are not filled
</t>
        </r>
      </text>
    </comment>
    <comment ref="A14" authorId="0" shapeId="0" xr:uid="{6158AA55-C03D-4624-A1C6-1ED48D98B88E}">
      <text>
        <r>
          <rPr>
            <sz val="9"/>
            <color indexed="81"/>
            <rFont val="Tahoma"/>
            <family val="2"/>
          </rPr>
          <t xml:space="preserve">1. I-FD 5 Day SLA breach
</t>
        </r>
      </text>
    </comment>
    <comment ref="E14" authorId="0" shapeId="0" xr:uid="{C6C42B01-9C9D-4DF8-BC71-00101FB44451}">
      <text>
        <r>
          <rPr>
            <sz val="9"/>
            <color indexed="81"/>
            <rFont val="Tahoma"/>
            <family val="2"/>
          </rPr>
          <t xml:space="preserve">2. Issue is not closed even though all BC releases all closed or canceled
</t>
        </r>
      </text>
    </comment>
    <comment ref="M14" authorId="0" shapeId="0" xr:uid="{0515E15D-038E-429A-8379-FC0899B9CBA9}">
      <text>
        <r>
          <rPr>
            <sz val="9"/>
            <color indexed="81"/>
            <rFont val="Tahoma"/>
            <family val="2"/>
          </rPr>
          <t xml:space="preserve">14. WorkItem not closed after planned date
</t>
        </r>
      </text>
    </comment>
    <comment ref="H15" authorId="0" shapeId="0" xr:uid="{4A9FECA5-E7C8-462D-A511-2263B6AED315}">
      <text>
        <r>
          <rPr>
            <sz val="9"/>
            <color indexed="81"/>
            <rFont val="Tahoma"/>
            <family val="2"/>
          </rPr>
          <t xml:space="preserve">9. BC-R is not in planned state 2 weeks before planned delivery date
11. BC-R planned date is within next 14 days
</t>
        </r>
      </text>
    </comment>
    <comment ref="H16" authorId="0" shapeId="0" xr:uid="{2A4B9300-FB3C-48A5-806C-66AA22F05043}">
      <text>
        <r>
          <rPr>
            <sz val="9"/>
            <color indexed="81"/>
            <rFont val="Tahoma"/>
            <family val="2"/>
          </rPr>
          <t xml:space="preserve">9. BC-R is not in planned state 2 weeks before planned delivery date
11. BC-R planned date is within next 14 days
</t>
        </r>
      </text>
    </comment>
    <comment ref="M16" authorId="0" shapeId="0" xr:uid="{9D0A33C5-782F-4E1B-9098-BB40FBC3BD9B}">
      <text>
        <r>
          <rPr>
            <sz val="9"/>
            <color indexed="81"/>
            <rFont val="Tahoma"/>
            <family val="2"/>
          </rPr>
          <t xml:space="preserve">14. WorkItem not closed after planned date
</t>
        </r>
      </text>
    </comment>
    <comment ref="M17" authorId="0" shapeId="0" xr:uid="{1F25EC12-BA81-4C1C-A3AF-BA172F0CA3C4}">
      <text>
        <r>
          <rPr>
            <sz val="9"/>
            <color indexed="81"/>
            <rFont val="Tahoma"/>
            <family val="2"/>
          </rPr>
          <t xml:space="preserve">14. WorkItem not closed after planned date
</t>
        </r>
      </text>
    </comment>
    <comment ref="M18" authorId="0" shapeId="0" xr:uid="{0D6F231B-5368-4A21-A336-C56B1C670B42}">
      <text>
        <r>
          <rPr>
            <sz val="9"/>
            <color indexed="81"/>
            <rFont val="Tahoma"/>
            <family val="2"/>
          </rPr>
          <t xml:space="preserve">14. WorkItem not closed after planned date
</t>
        </r>
      </text>
    </comment>
    <comment ref="H19" authorId="0" shapeId="0" xr:uid="{7BC872BA-29DD-4B49-973F-458B326427C3}">
      <text>
        <r>
          <rPr>
            <sz val="9"/>
            <color indexed="81"/>
            <rFont val="Tahoma"/>
            <family val="2"/>
          </rPr>
          <t xml:space="preserve">9. BC-R is not in planned state 2 weeks before planned delivery date
11. BC-R planned date is within next 14 days
</t>
        </r>
      </text>
    </comment>
    <comment ref="M20" authorId="0" shapeId="0" xr:uid="{14996B15-B2C3-445D-BD39-9B16E5DFF887}">
      <text>
        <r>
          <rPr>
            <sz val="9"/>
            <color indexed="81"/>
            <rFont val="Tahoma"/>
            <family val="2"/>
          </rPr>
          <t xml:space="preserve">13. Estimated Effort / Planned Date is not updated
</t>
        </r>
      </text>
    </comment>
    <comment ref="C21" authorId="0" shapeId="0" xr:uid="{42DC9A3A-D366-45A2-B0DD-A9C5CBABA66D}">
      <text>
        <r>
          <rPr>
            <sz val="9"/>
            <color indexed="81"/>
            <rFont val="Tahoma"/>
            <family val="2"/>
          </rPr>
          <t xml:space="preserve">4. Issue is not committed, eventhough parent I-SW is committed
</t>
        </r>
      </text>
    </comment>
    <comment ref="M21" authorId="0" shapeId="0" xr:uid="{F49A7863-80CC-4B76-AB7B-4602932AA2C5}">
      <text>
        <r>
          <rPr>
            <sz val="9"/>
            <color indexed="81"/>
            <rFont val="Tahoma"/>
            <family val="2"/>
          </rPr>
          <t xml:space="preserve">13. Estimated Effort / Planned Date is not updated
</t>
        </r>
      </text>
    </comment>
    <comment ref="M22" authorId="0" shapeId="0" xr:uid="{1AD2A6DD-9580-4E93-BA57-53BE724FEEC9}">
      <text>
        <r>
          <rPr>
            <sz val="9"/>
            <color indexed="81"/>
            <rFont val="Tahoma"/>
            <family val="2"/>
          </rPr>
          <t xml:space="preserve">13. Estimated Effort / Planned Date is not updated
</t>
        </r>
      </text>
    </comment>
    <comment ref="A23" authorId="0" shapeId="0" xr:uid="{FFCCEE19-169E-4E9D-8AFA-DE338362401B}">
      <text>
        <r>
          <rPr>
            <sz val="9"/>
            <color indexed="81"/>
            <rFont val="Tahoma"/>
            <family val="2"/>
          </rPr>
          <t xml:space="preserve">1. I-FD 5 Day SLA breach
</t>
        </r>
      </text>
    </comment>
    <comment ref="C23" authorId="0" shapeId="0" xr:uid="{CB4574BC-DF06-4EE7-BC54-4D5DE88229DD}">
      <text>
        <r>
          <rPr>
            <sz val="9"/>
            <color indexed="81"/>
            <rFont val="Tahoma"/>
            <family val="2"/>
          </rPr>
          <t xml:space="preserve">4. Issue is not committed, eventhough parent I-SW is committed
</t>
        </r>
      </text>
    </comment>
    <comment ref="M23" authorId="0" shapeId="0" xr:uid="{7E9EC7D9-7B00-41C7-8FB6-99ECB7E7BD8F}">
      <text>
        <r>
          <rPr>
            <sz val="9"/>
            <color indexed="81"/>
            <rFont val="Tahoma"/>
            <family val="2"/>
          </rPr>
          <t xml:space="preserve">13. Estimated Effort / Planned Date is not updated
</t>
        </r>
      </text>
    </comment>
    <comment ref="A24" authorId="0" shapeId="0" xr:uid="{3D8CC99D-213B-4BA1-A175-AB5FDD48E8E5}">
      <text>
        <r>
          <rPr>
            <sz val="9"/>
            <color indexed="81"/>
            <rFont val="Tahoma"/>
            <family val="2"/>
          </rPr>
          <t xml:space="preserve">1. I-FD 5 Day SLA breach
</t>
        </r>
      </text>
    </comment>
    <comment ref="M24" authorId="0" shapeId="0" xr:uid="{EEE2390C-000D-4A97-8FA9-88FF34131018}">
      <text>
        <r>
          <rPr>
            <sz val="9"/>
            <color indexed="81"/>
            <rFont val="Tahoma"/>
            <family val="2"/>
          </rPr>
          <t xml:space="preserve">13. Estimated Effort / Planned Date is not updated
</t>
        </r>
      </text>
    </comment>
    <comment ref="A26" authorId="0" shapeId="0" xr:uid="{9081B965-C64E-4820-816E-2BB82579B170}">
      <text>
        <r>
          <rPr>
            <sz val="9"/>
            <color indexed="81"/>
            <rFont val="Tahoma"/>
            <family val="2"/>
          </rPr>
          <t xml:space="preserve">1. I-FD 5 Day SLA breach
</t>
        </r>
      </text>
    </comment>
    <comment ref="C26" authorId="0" shapeId="0" xr:uid="{97295C38-4801-4475-A7EE-C54ADBBED24E}">
      <text>
        <r>
          <rPr>
            <sz val="9"/>
            <color indexed="81"/>
            <rFont val="Tahoma"/>
            <family val="2"/>
          </rPr>
          <t xml:space="preserve">4. Issue is not committed, eventhough parent I-SW is committed
</t>
        </r>
      </text>
    </comment>
    <comment ref="M26" authorId="0" shapeId="0" xr:uid="{B84057E9-F506-4B59-AE27-A09EA7A4976C}">
      <text>
        <r>
          <rPr>
            <sz val="9"/>
            <color indexed="81"/>
            <rFont val="Tahoma"/>
            <family val="2"/>
          </rPr>
          <t xml:space="preserve">14. WorkItem not closed after planned date
13. Estimated Effort / Planned Date is not updated
</t>
        </r>
      </text>
    </comment>
    <comment ref="A27" authorId="0" shapeId="0" xr:uid="{A4FCFDEE-8628-4662-BA15-512969E1FB1C}">
      <text>
        <r>
          <rPr>
            <sz val="9"/>
            <color indexed="81"/>
            <rFont val="Tahoma"/>
            <family val="2"/>
          </rPr>
          <t xml:space="preserve">1. I-FD 5 Day SLA breach
</t>
        </r>
      </text>
    </comment>
    <comment ref="M27" authorId="0" shapeId="0" xr:uid="{F102EEE9-54B7-4702-BB60-526285A87C07}">
      <text>
        <r>
          <rPr>
            <sz val="9"/>
            <color indexed="81"/>
            <rFont val="Tahoma"/>
            <family val="2"/>
          </rPr>
          <t xml:space="preserve">14. WorkItem not closed after planned date
</t>
        </r>
      </text>
    </comment>
    <comment ref="A28" authorId="0" shapeId="0" xr:uid="{3F049DDB-05E3-4744-AFB3-7C445CC9549E}">
      <text>
        <r>
          <rPr>
            <sz val="9"/>
            <color indexed="81"/>
            <rFont val="Tahoma"/>
            <family val="2"/>
          </rPr>
          <t xml:space="preserve">1. I-FD 5 Day SLA breach
</t>
        </r>
      </text>
    </comment>
    <comment ref="M28" authorId="0" shapeId="0" xr:uid="{AFADB318-89C1-4BBA-89C6-DEB5896089CF}">
      <text>
        <r>
          <rPr>
            <sz val="9"/>
            <color indexed="81"/>
            <rFont val="Tahoma"/>
            <family val="2"/>
          </rPr>
          <t xml:space="preserve">14. WorkItem not closed after planned date
</t>
        </r>
      </text>
    </comment>
    <comment ref="M29" authorId="0" shapeId="0" xr:uid="{4D26B1B5-018A-4A30-B8B6-BABB8AEFE334}">
      <text>
        <r>
          <rPr>
            <sz val="9"/>
            <color indexed="81"/>
            <rFont val="Tahoma"/>
            <family val="2"/>
          </rPr>
          <t xml:space="preserve">14. WorkItem not closed after planned date
13. Estimated Effort / Planned Date is not updated
</t>
        </r>
      </text>
    </comment>
    <comment ref="A30" authorId="0" shapeId="0" xr:uid="{F983C910-EA22-417E-87A3-C3EFBB40C3B5}">
      <text>
        <r>
          <rPr>
            <sz val="9"/>
            <color indexed="81"/>
            <rFont val="Tahoma"/>
            <family val="2"/>
          </rPr>
          <t xml:space="preserve">1. I-FD evaluation to be completed in 1 day
</t>
        </r>
      </text>
    </comment>
    <comment ref="M31" authorId="0" shapeId="0" xr:uid="{0D41FE03-DAEB-4870-99E0-7F6C2A03EC73}">
      <text>
        <r>
          <rPr>
            <sz val="9"/>
            <color indexed="81"/>
            <rFont val="Tahoma"/>
            <family val="2"/>
          </rPr>
          <t xml:space="preserve">14. WorkItem not closed after planned date
</t>
        </r>
      </text>
    </comment>
    <comment ref="A32" authorId="0" shapeId="0" xr:uid="{981CD2E0-5794-4811-9FB1-CB745E1E19FF}">
      <text>
        <r>
          <rPr>
            <sz val="9"/>
            <color indexed="81"/>
            <rFont val="Tahoma"/>
            <family val="2"/>
          </rPr>
          <t xml:space="preserve">1. I-FD evaluation to be completed in 1 day
</t>
        </r>
      </text>
    </comment>
    <comment ref="A33" authorId="0" shapeId="0" xr:uid="{191802D2-4254-477F-B58C-0DC8A4F52094}">
      <text>
        <r>
          <rPr>
            <sz val="9"/>
            <color indexed="81"/>
            <rFont val="Tahoma"/>
            <family val="2"/>
          </rPr>
          <t xml:space="preserve">1. I-FD evaluation to be completed in 2 days
</t>
        </r>
      </text>
    </comment>
    <comment ref="C34" authorId="0" shapeId="0" xr:uid="{3A3CC8E5-C52B-4AC7-93B9-69C4A60115B4}">
      <text>
        <r>
          <rPr>
            <sz val="9"/>
            <color indexed="81"/>
            <rFont val="Tahoma"/>
            <family val="2"/>
          </rPr>
          <t xml:space="preserve">4. Issue is not committed, eventhough parent I-SW is committed
</t>
        </r>
      </text>
    </comment>
    <comment ref="M34" authorId="0" shapeId="0" xr:uid="{587EA0C8-7438-4B23-9C3B-04FA2842326B}">
      <text>
        <r>
          <rPr>
            <sz val="9"/>
            <color indexed="81"/>
            <rFont val="Tahoma"/>
            <family val="2"/>
          </rPr>
          <t xml:space="preserve">14. WorkItem not closed after planned date
</t>
        </r>
      </text>
    </comment>
    <comment ref="K64" authorId="0" shapeId="0" xr:uid="{42EA160D-2655-43ED-B2F0-B603FFA1C7DA}">
      <text>
        <r>
          <rPr>
            <sz val="9"/>
            <color indexed="81"/>
            <rFont val="Tahoma"/>
            <family val="2"/>
          </rPr>
          <t xml:space="preserve">14. WorkItem not closed after planned date
</t>
        </r>
      </text>
    </comment>
    <comment ref="K65" authorId="0" shapeId="0" xr:uid="{5C73B2E2-FD71-4CD3-BF35-070BDF22FEED}">
      <text>
        <r>
          <rPr>
            <sz val="9"/>
            <color indexed="81"/>
            <rFont val="Tahoma"/>
            <family val="2"/>
          </rPr>
          <t xml:space="preserve">14. WorkItem not closed after planned date
</t>
        </r>
      </text>
    </comment>
    <comment ref="K73" authorId="0" shapeId="0" xr:uid="{71D262D5-54DB-4087-A49A-D837B6AA8BBC}">
      <text>
        <r>
          <rPr>
            <sz val="9"/>
            <color indexed="81"/>
            <rFont val="Tahoma"/>
            <family val="2"/>
          </rPr>
          <t xml:space="preserve">14. WorkItem not closed after planned date
</t>
        </r>
      </text>
    </comment>
    <comment ref="K74" authorId="0" shapeId="0" xr:uid="{647347BE-F57E-43D9-95C3-E4DEB86BEB38}">
      <text>
        <r>
          <rPr>
            <sz val="9"/>
            <color indexed="81"/>
            <rFont val="Tahoma"/>
            <family val="2"/>
          </rPr>
          <t xml:space="preserve">14. WorkItem not closed after planned date
</t>
        </r>
      </text>
    </comment>
    <comment ref="I80" authorId="0" shapeId="0" xr:uid="{E1D952E8-F024-4ED6-92F7-88A9385A44A6}">
      <text>
        <r>
          <rPr>
            <sz val="9"/>
            <color indexed="81"/>
            <rFont val="Tahoma"/>
            <family val="2"/>
          </rPr>
          <t xml:space="preserve">7. Release not closed after planned date
</t>
        </r>
      </text>
    </comment>
    <comment ref="I81" authorId="0" shapeId="0" xr:uid="{D5B6708B-B633-4DEB-8B9B-F0DD3F93406A}">
      <text>
        <r>
          <rPr>
            <sz val="9"/>
            <color indexed="81"/>
            <rFont val="Tahoma"/>
            <family val="2"/>
          </rPr>
          <t xml:space="preserve">7. Release not closed after planned date
</t>
        </r>
      </text>
    </comment>
    <comment ref="K112" authorId="0" shapeId="0" xr:uid="{1DE930CC-75AB-4CC9-8E71-8CD9A32AF2F0}">
      <text>
        <r>
          <rPr>
            <sz val="9"/>
            <color indexed="81"/>
            <rFont val="Tahoma"/>
            <family val="2"/>
          </rPr>
          <t xml:space="preserve">14. WorkItem not closed after planned date
</t>
        </r>
      </text>
    </comment>
    <comment ref="K113" authorId="0" shapeId="0" xr:uid="{FADDA08C-BED0-4AF6-B599-D309FD8795A9}">
      <text>
        <r>
          <rPr>
            <sz val="9"/>
            <color indexed="81"/>
            <rFont val="Tahoma"/>
            <family val="2"/>
          </rPr>
          <t xml:space="preserve">14. WorkItem not closed after planned date
</t>
        </r>
      </text>
    </comment>
    <comment ref="K118" authorId="0" shapeId="0" xr:uid="{24D24310-8A1E-4F14-8BAC-74BE8DFC2A30}">
      <text>
        <r>
          <rPr>
            <sz val="9"/>
            <color indexed="81"/>
            <rFont val="Tahoma"/>
            <family val="2"/>
          </rPr>
          <t xml:space="preserve">14. WorkItem not closed after planned date
</t>
        </r>
      </text>
    </comment>
    <comment ref="I137" authorId="0" shapeId="0" xr:uid="{F1B6138C-5A2C-4883-B86C-4BC4DFDEAE0E}">
      <text>
        <r>
          <rPr>
            <sz val="9"/>
            <color indexed="81"/>
            <rFont val="Tahoma"/>
            <family val="2"/>
          </rPr>
          <t xml:space="preserve">7. Release not closed after planned date
</t>
        </r>
      </text>
    </comment>
    <comment ref="I225" authorId="0" shapeId="0" xr:uid="{69C77B06-6F6B-4274-B19C-E571896F4722}">
      <text>
        <r>
          <rPr>
            <sz val="9"/>
            <color indexed="81"/>
            <rFont val="Tahoma"/>
            <family val="2"/>
          </rPr>
          <t xml:space="preserve">5. Predecessor is not mapped to release
</t>
        </r>
      </text>
    </comment>
    <comment ref="I243" authorId="0" shapeId="0" xr:uid="{199D795C-FF9F-4F57-A60C-88B37E44862C}">
      <text>
        <r>
          <rPr>
            <sz val="9"/>
            <color indexed="81"/>
            <rFont val="Tahoma"/>
            <family val="2"/>
          </rPr>
          <t xml:space="preserve">15. FC-Release is not linked to BC-Release
</t>
        </r>
      </text>
    </comment>
    <comment ref="I244" authorId="0" shapeId="0" xr:uid="{9899EB93-2FDE-46B3-A4ED-56243C4DF417}">
      <text>
        <r>
          <rPr>
            <sz val="9"/>
            <color indexed="81"/>
            <rFont val="Tahoma"/>
            <family val="2"/>
          </rPr>
          <t xml:space="preserve">15. FC-Release is not linked to BC-Release
</t>
        </r>
      </text>
    </comment>
    <comment ref="I245" authorId="0" shapeId="0" xr:uid="{60AF56FD-4C1E-498D-9AC2-1474522CBF35}">
      <text>
        <r>
          <rPr>
            <sz val="9"/>
            <color indexed="81"/>
            <rFont val="Tahoma"/>
            <family val="2"/>
          </rPr>
          <t xml:space="preserve">15. FC-Release is not linked to BC-Release
</t>
        </r>
      </text>
    </comment>
    <comment ref="I246" authorId="0" shapeId="0" xr:uid="{98B715D7-D125-43A1-BBA0-CA165EDA3528}">
      <text>
        <r>
          <rPr>
            <sz val="9"/>
            <color indexed="81"/>
            <rFont val="Tahoma"/>
            <family val="2"/>
          </rPr>
          <t xml:space="preserve">15. FC-Release is not linked to BC-Release
</t>
        </r>
      </text>
    </comment>
    <comment ref="I247" authorId="0" shapeId="0" xr:uid="{AEDB7A6C-EAB4-4EF6-B062-DCDD15185F09}">
      <text>
        <r>
          <rPr>
            <sz val="9"/>
            <color indexed="81"/>
            <rFont val="Tahoma"/>
            <family val="2"/>
          </rPr>
          <t xml:space="preserve">15. FC-Release is not linked to BC-Release
</t>
        </r>
      </text>
    </comment>
    <comment ref="I248" authorId="0" shapeId="0" xr:uid="{84188A00-5B44-40D5-8F1A-9A1BAC7C3CAB}">
      <text>
        <r>
          <rPr>
            <sz val="9"/>
            <color indexed="81"/>
            <rFont val="Tahoma"/>
            <family val="2"/>
          </rPr>
          <t xml:space="preserve">15. FC-Release is not linked to BC-Release
</t>
        </r>
      </text>
    </comment>
    <comment ref="I249" authorId="0" shapeId="0" xr:uid="{5ECD5C6D-8D6E-48FF-A945-359E34E82610}">
      <text>
        <r>
          <rPr>
            <sz val="9"/>
            <color indexed="81"/>
            <rFont val="Tahoma"/>
            <family val="2"/>
          </rPr>
          <t xml:space="preserve">15. FC-Release is not linked to BC-Release
</t>
        </r>
      </text>
    </comment>
    <comment ref="I250" authorId="0" shapeId="0" xr:uid="{C0029201-AA12-4F64-B57E-365FFFC52894}">
      <text>
        <r>
          <rPr>
            <sz val="9"/>
            <color indexed="81"/>
            <rFont val="Tahoma"/>
            <family val="2"/>
          </rPr>
          <t xml:space="preserve">15. FC-Release is not linked to BC-Release
</t>
        </r>
      </text>
    </comment>
    <comment ref="I251" authorId="0" shapeId="0" xr:uid="{56675F24-6BCF-4A60-BB85-C9E71EFCC817}">
      <text>
        <r>
          <rPr>
            <sz val="9"/>
            <color indexed="81"/>
            <rFont val="Tahoma"/>
            <family val="2"/>
          </rPr>
          <t xml:space="preserve">15. FC-Release is not linked to BC-Release
</t>
        </r>
      </text>
    </comment>
    <comment ref="I252" authorId="0" shapeId="0" xr:uid="{1B493A4D-9BFA-472B-B8EA-624B4EC3C154}">
      <text>
        <r>
          <rPr>
            <sz val="9"/>
            <color indexed="81"/>
            <rFont val="Tahoma"/>
            <family val="2"/>
          </rPr>
          <t xml:space="preserve">15. FC-Release is not linked to BC-Release
</t>
        </r>
      </text>
    </comment>
    <comment ref="I253" authorId="0" shapeId="0" xr:uid="{3BD09570-96AE-4A42-ACF2-5D870546E8EC}">
      <text>
        <r>
          <rPr>
            <sz val="9"/>
            <color indexed="81"/>
            <rFont val="Tahoma"/>
            <family val="2"/>
          </rPr>
          <t xml:space="preserve">15. FC-Release is not linked to BC-Release
</t>
        </r>
      </text>
    </comment>
    <comment ref="I254" authorId="0" shapeId="0" xr:uid="{C9BA52C7-FEA3-41AB-8B56-53D2A4947FAE}">
      <text>
        <r>
          <rPr>
            <sz val="9"/>
            <color indexed="81"/>
            <rFont val="Tahoma"/>
            <family val="2"/>
          </rPr>
          <t xml:space="preserve">15. FC-Release is not linked to BC-Release
</t>
        </r>
      </text>
    </comment>
    <comment ref="I255" authorId="0" shapeId="0" xr:uid="{8BE9AD2B-DFD5-49E9-AD6B-DF7AD82ED0AF}">
      <text>
        <r>
          <rPr>
            <sz val="9"/>
            <color indexed="81"/>
            <rFont val="Tahoma"/>
            <family val="2"/>
          </rPr>
          <t xml:space="preserve">15. FC-Release is not linked to BC-Release
</t>
        </r>
      </text>
    </comment>
    <comment ref="I256" authorId="0" shapeId="0" xr:uid="{9FA090AF-3065-43D0-9065-1805348D40CA}">
      <text>
        <r>
          <rPr>
            <sz val="9"/>
            <color indexed="81"/>
            <rFont val="Tahoma"/>
            <family val="2"/>
          </rPr>
          <t xml:space="preserve">15. FC-Release is not linked to BC-Release
</t>
        </r>
      </text>
    </comment>
    <comment ref="I257" authorId="0" shapeId="0" xr:uid="{FE11E44C-5B74-40F4-85CE-94B7F7E3CEC5}">
      <text>
        <r>
          <rPr>
            <sz val="9"/>
            <color indexed="81"/>
            <rFont val="Tahoma"/>
            <family val="2"/>
          </rPr>
          <t xml:space="preserve">15. FC-Release is not linked to BC-Release
</t>
        </r>
      </text>
    </comment>
    <comment ref="I258" authorId="0" shapeId="0" xr:uid="{A5AAD7C2-8CEB-40ED-BDF8-6561013B9DA0}">
      <text>
        <r>
          <rPr>
            <sz val="9"/>
            <color indexed="81"/>
            <rFont val="Tahoma"/>
            <family val="2"/>
          </rPr>
          <t xml:space="preserve">15. FC-Release is not linked to BC-Release
</t>
        </r>
      </text>
    </comment>
    <comment ref="I259" authorId="0" shapeId="0" xr:uid="{D0EE39F8-DCD1-45EE-A2DC-F004AE858845}">
      <text>
        <r>
          <rPr>
            <sz val="9"/>
            <color indexed="81"/>
            <rFont val="Tahoma"/>
            <family val="2"/>
          </rPr>
          <t xml:space="preserve">15. FC-Release is not linked to BC-Release
</t>
        </r>
      </text>
    </comment>
    <comment ref="I260" authorId="0" shapeId="0" xr:uid="{AC7B3AF5-170A-42E8-AAA2-84E26DCEED1B}">
      <text>
        <r>
          <rPr>
            <sz val="9"/>
            <color indexed="81"/>
            <rFont val="Tahoma"/>
            <family val="2"/>
          </rPr>
          <t xml:space="preserve">15. FC-Release is not linked to BC-Release
</t>
        </r>
      </text>
    </comment>
    <comment ref="I261" authorId="0" shapeId="0" xr:uid="{D9921199-DC2C-4E56-9591-CD5B71F6F802}">
      <text>
        <r>
          <rPr>
            <sz val="9"/>
            <color indexed="81"/>
            <rFont val="Tahoma"/>
            <family val="2"/>
          </rPr>
          <t xml:space="preserve">15. FC-Release is not linked to BC-Release
</t>
        </r>
      </text>
    </comment>
    <comment ref="I262" authorId="0" shapeId="0" xr:uid="{42910D47-62CE-4EF6-BBA2-25B759447622}">
      <text>
        <r>
          <rPr>
            <sz val="9"/>
            <color indexed="81"/>
            <rFont val="Tahoma"/>
            <family val="2"/>
          </rPr>
          <t xml:space="preserve">15. FC-Release is not linked to BC-Release
</t>
        </r>
      </text>
    </comment>
    <comment ref="I263" authorId="0" shapeId="0" xr:uid="{DF46066B-12E1-4444-90AA-0CA06E50A61E}">
      <text>
        <r>
          <rPr>
            <sz val="9"/>
            <color indexed="81"/>
            <rFont val="Tahoma"/>
            <family val="2"/>
          </rPr>
          <t xml:space="preserve">15. FC-Release is not linked to BC-Release
</t>
        </r>
      </text>
    </comment>
    <comment ref="I264" authorId="0" shapeId="0" xr:uid="{BD6938AC-A8EC-44F3-93B2-B51E4F1E274A}">
      <text>
        <r>
          <rPr>
            <sz val="9"/>
            <color indexed="81"/>
            <rFont val="Tahoma"/>
            <family val="2"/>
          </rPr>
          <t xml:space="preserve">15. FC-Release is not linked to BC-Release
</t>
        </r>
      </text>
    </comment>
    <comment ref="I265" authorId="0" shapeId="0" xr:uid="{4A56804A-B2B4-4070-BE12-87425D56DC34}">
      <text>
        <r>
          <rPr>
            <sz val="9"/>
            <color indexed="81"/>
            <rFont val="Tahoma"/>
            <family val="2"/>
          </rPr>
          <t xml:space="preserve">15. FC-Release is not linked to BC-Release
</t>
        </r>
      </text>
    </comment>
    <comment ref="I266" authorId="0" shapeId="0" xr:uid="{3EAD2088-61F2-4F0A-AD16-64ED42AEB5B5}">
      <text>
        <r>
          <rPr>
            <sz val="9"/>
            <color indexed="81"/>
            <rFont val="Tahoma"/>
            <family val="2"/>
          </rPr>
          <t xml:space="preserve">15. FC-Release is not linked to BC-Release
</t>
        </r>
      </text>
    </comment>
    <comment ref="I267" authorId="0" shapeId="0" xr:uid="{8D5A4F67-133B-44E5-9118-2A647B411E61}">
      <text>
        <r>
          <rPr>
            <sz val="9"/>
            <color indexed="81"/>
            <rFont val="Tahoma"/>
            <family val="2"/>
          </rPr>
          <t xml:space="preserve">15. FC-Release is not linked to BC-Release
</t>
        </r>
      </text>
    </comment>
    <comment ref="I268" authorId="0" shapeId="0" xr:uid="{61D34BC0-3ACF-4C0F-BDA2-9E0E07998B1F}">
      <text>
        <r>
          <rPr>
            <sz val="9"/>
            <color indexed="81"/>
            <rFont val="Tahoma"/>
            <family val="2"/>
          </rPr>
          <t xml:space="preserve">15. FC-Release is not linked to BC-Release
</t>
        </r>
      </text>
    </comment>
    <comment ref="I269" authorId="0" shapeId="0" xr:uid="{D7A3E288-953F-4640-A33D-B044A3B0693B}">
      <text>
        <r>
          <rPr>
            <sz val="9"/>
            <color indexed="81"/>
            <rFont val="Tahoma"/>
            <family val="2"/>
          </rPr>
          <t xml:space="preserve">15. FC-Release is not linked to BC-Release
</t>
        </r>
      </text>
    </comment>
    <comment ref="I270" authorId="0" shapeId="0" xr:uid="{B162B58C-AD19-49DB-92AD-2A8E92805BAF}">
      <text>
        <r>
          <rPr>
            <sz val="9"/>
            <color indexed="81"/>
            <rFont val="Tahoma"/>
            <family val="2"/>
          </rPr>
          <t xml:space="preserve">15. FC-Release is not linked to BC-Release
</t>
        </r>
      </text>
    </comment>
    <comment ref="I271" authorId="0" shapeId="0" xr:uid="{4BE633D7-6921-435D-937E-A3C8AFF80969}">
      <text>
        <r>
          <rPr>
            <sz val="9"/>
            <color indexed="81"/>
            <rFont val="Tahoma"/>
            <family val="2"/>
          </rPr>
          <t xml:space="preserve">15. FC-Release is not linked to BC-Release
</t>
        </r>
      </text>
    </comment>
    <comment ref="I272" authorId="0" shapeId="0" xr:uid="{78EA3E04-B4D5-4484-8780-1692ADAB732F}">
      <text>
        <r>
          <rPr>
            <sz val="9"/>
            <color indexed="81"/>
            <rFont val="Tahoma"/>
            <family val="2"/>
          </rPr>
          <t xml:space="preserve">15. FC-Release is not linked to BC-Release
</t>
        </r>
      </text>
    </comment>
    <comment ref="I273" authorId="0" shapeId="0" xr:uid="{B17D5A2A-F8FF-48E1-8CC5-80412A0D8A1D}">
      <text>
        <r>
          <rPr>
            <sz val="9"/>
            <color indexed="81"/>
            <rFont val="Tahoma"/>
            <family val="2"/>
          </rPr>
          <t xml:space="preserve">15. FC-Release is not linked to BC-Release
</t>
        </r>
      </text>
    </comment>
    <comment ref="I274" authorId="0" shapeId="0" xr:uid="{56BE71D4-7FAF-407E-A498-9D0C2E73494F}">
      <text>
        <r>
          <rPr>
            <sz val="9"/>
            <color indexed="81"/>
            <rFont val="Tahoma"/>
            <family val="2"/>
          </rPr>
          <t xml:space="preserve">15. FC-Release is not linked to BC-Release
</t>
        </r>
      </text>
    </comment>
  </commentList>
</comments>
</file>

<file path=xl/sharedStrings.xml><?xml version="1.0" encoding="utf-8"?>
<sst xmlns="http://schemas.openxmlformats.org/spreadsheetml/2006/main" count="6813" uniqueCount="2549">
  <si>
    <t>Contact</t>
  </si>
  <si>
    <t>Tool Version</t>
  </si>
  <si>
    <t>v1.0.6</t>
  </si>
  <si>
    <t>Report Start Time</t>
  </si>
  <si>
    <t>Logged in as (Name)</t>
  </si>
  <si>
    <t>Report End Time</t>
  </si>
  <si>
    <t>Total Time</t>
  </si>
  <si>
    <t>RQ1 Project ID</t>
  </si>
  <si>
    <t>Assignee</t>
  </si>
  <si>
    <t>Customer</t>
  </si>
  <si>
    <t>Send Email</t>
  </si>
  <si>
    <t>No</t>
  </si>
  <si>
    <r>
      <t xml:space="preserve">Generate Report From </t>
    </r>
    <r>
      <rPr>
        <b/>
        <sz val="8"/>
        <color indexed="9"/>
        <rFont val="Arial"/>
        <family val="2"/>
      </rPr>
      <t>(DD/MM/YYYY)</t>
    </r>
  </si>
  <si>
    <t>Email CC to -&gt;</t>
  </si>
  <si>
    <t>From Date (DD/MM/YYYY)</t>
  </si>
  <si>
    <t>To Date (DD/MM/YYYY)</t>
  </si>
  <si>
    <t>Check No</t>
  </si>
  <si>
    <t>Description on the RQ1 check</t>
  </si>
  <si>
    <t>Check Required?</t>
  </si>
  <si>
    <t>Color of Check</t>
  </si>
  <si>
    <t>IFD 5 day SLA breached</t>
  </si>
  <si>
    <t>Yes</t>
  </si>
  <si>
    <t>Red</t>
  </si>
  <si>
    <t>IFD is not closed, even though all the BC-Rs mapped to it are closed or canceled</t>
  </si>
  <si>
    <t>IFD is not implemented or closed, after planned dated of BC-R</t>
  </si>
  <si>
    <t>IFD is not committed, eventhough attached Issue-SW is committed</t>
  </si>
  <si>
    <t>Release Predecessor is not mapped</t>
  </si>
  <si>
    <t>Orange</t>
  </si>
  <si>
    <t>BC-R is in planned state, but estimate / planned date is not entered in planning tab</t>
  </si>
  <si>
    <t>Release is not closed after planned date</t>
  </si>
  <si>
    <t>BC-R is not in requested state, 8 weeks before PVER planned delivery date</t>
  </si>
  <si>
    <t>BC-R is not in planned state, 6 weeks before PVER planned delivery date</t>
  </si>
  <si>
    <t>Light Orange</t>
  </si>
  <si>
    <t>Planned date of BC later than requested delivery date of any mapped Pver of Pvar</t>
  </si>
  <si>
    <t>BC-R planned date is within next 14 days</t>
  </si>
  <si>
    <t>Yellow</t>
  </si>
  <si>
    <t>FC-Release is in planned state, but “Description”  or “External Description”  is not entered</t>
  </si>
  <si>
    <t>Brown</t>
  </si>
  <si>
    <t>Workitem is in started state, but estimate / planned date is not entered in planning tab</t>
  </si>
  <si>
    <t>Workitem is not closed after planned date</t>
  </si>
  <si>
    <t>FC-Release is not linked to BC-Release</t>
  </si>
  <si>
    <t>All fields in Defect Flow Model are not filled</t>
  </si>
  <si>
    <t>Light Yellow</t>
  </si>
  <si>
    <t>Issue/Release/workitem is still in "Conflicted" state</t>
  </si>
  <si>
    <t>Sky Blue</t>
  </si>
  <si>
    <t>Report Generated Date:</t>
  </si>
  <si>
    <t>Project</t>
  </si>
  <si>
    <t>Requirements Pending for Evaluation</t>
  </si>
  <si>
    <t>Releases missed planned date - 
RQ1 State: Planned</t>
  </si>
  <si>
    <t>Releases missed planned date - 
RQ1 State: Developed</t>
  </si>
  <si>
    <t>Work items not closed after planned date</t>
  </si>
  <si>
    <t>ComVeh - VW Group - Communication Vehicle</t>
  </si>
  <si>
    <t>Total</t>
  </si>
  <si>
    <t>Issue List</t>
  </si>
  <si>
    <t>Creation date:</t>
  </si>
  <si>
    <t>Issue Count</t>
  </si>
  <si>
    <t>Issue ID</t>
  </si>
  <si>
    <t>Category</t>
  </si>
  <si>
    <t>LC-State</t>
  </si>
  <si>
    <t>Title</t>
  </si>
  <si>
    <t>Submitter</t>
  </si>
  <si>
    <t>Submit Date</t>
  </si>
  <si>
    <t>Fowarded Date</t>
  </si>
  <si>
    <t>Assignee.fullname</t>
  </si>
  <si>
    <t>Estimated Effort</t>
  </si>
  <si>
    <t>FMEA</t>
  </si>
  <si>
    <t>Type</t>
  </si>
  <si>
    <t>Account No.</t>
  </si>
  <si>
    <t>DefectDetectionDate</t>
  </si>
  <si>
    <t>DefectDetectionLocation</t>
  </si>
  <si>
    <t>DefectDetectionOrga</t>
  </si>
  <si>
    <t>DefectDetectionProcess</t>
  </si>
  <si>
    <t>DefectInjectionDate</t>
  </si>
  <si>
    <t>DefectInjectionOrga</t>
  </si>
  <si>
    <t>DefectiveWorkproductType</t>
  </si>
  <si>
    <t>DefectClassification</t>
  </si>
  <si>
    <t>Occurrence</t>
  </si>
  <si>
    <t>Severity</t>
  </si>
  <si>
    <t>Remarks</t>
  </si>
  <si>
    <t>Committed</t>
  </si>
  <si>
    <t>Not Required</t>
  </si>
  <si>
    <t>Issue FD</t>
  </si>
  <si>
    <t>VW Group</t>
  </si>
  <si>
    <t>Requirement</t>
  </si>
  <si>
    <t>Evaluated</t>
  </si>
  <si>
    <t>BM-00090880_002</t>
  </si>
  <si>
    <t>Tran Vo Phuc Hung (MS/EEU13-PS) (THR8HC)</t>
  </si>
  <si>
    <t>Implemented</t>
  </si>
  <si>
    <t>Ataie Mohammed Amin (PS-SC/EFV4) (ATM83WI)</t>
  </si>
  <si>
    <t>Steinboeck Christoph (PS-SC/EFV4) (sch82wi)</t>
  </si>
  <si>
    <t>Release List</t>
  </si>
  <si>
    <t>Release Count</t>
  </si>
  <si>
    <t>ID</t>
  </si>
  <si>
    <t>Planning Freeze</t>
  </si>
  <si>
    <t>Planned Date</t>
  </si>
  <si>
    <t>FC</t>
  </si>
  <si>
    <t>Conflicted</t>
  </si>
  <si>
    <t>Planned</t>
  </si>
  <si>
    <t>New</t>
  </si>
  <si>
    <t>Requested</t>
  </si>
  <si>
    <t>WorkItem List</t>
  </si>
  <si>
    <t>WorkItem Count</t>
  </si>
  <si>
    <t>Qualify</t>
  </si>
  <si>
    <t>Implement</t>
  </si>
  <si>
    <t>Misc</t>
  </si>
  <si>
    <t>Evaluate</t>
  </si>
  <si>
    <t>Support</t>
  </si>
  <si>
    <t>Started</t>
  </si>
  <si>
    <t>Ratno Chatterjee Shuvro (MS/EFV21-PS) (HTN4KOR)</t>
  </si>
  <si>
    <t>RQ1 Issue ID</t>
  </si>
  <si>
    <t>Estimated Effort (hrs)</t>
  </si>
  <si>
    <t>Booked Effort (hrs)</t>
  </si>
  <si>
    <t>% Effort Deviation</t>
  </si>
  <si>
    <t>RQONE00292686</t>
  </si>
  <si>
    <t>RQONE00301702</t>
  </si>
  <si>
    <t>RQONE00315916</t>
  </si>
  <si>
    <t>RQONE00296169</t>
  </si>
  <si>
    <t>Defect Flow Model Report</t>
  </si>
  <si>
    <t>Issue SW</t>
  </si>
  <si>
    <t>I-SW id</t>
  </si>
  <si>
    <t>SubmitDate</t>
  </si>
  <si>
    <t>LifeCycleState</t>
  </si>
  <si>
    <t>I-FD id</t>
  </si>
  <si>
    <t>Jahr/Monat</t>
  </si>
  <si>
    <t>ABR MONAT</t>
  </si>
  <si>
    <t>a. BUKR</t>
  </si>
  <si>
    <t>a. Kst/Stelle</t>
  </si>
  <si>
    <t>STELLE</t>
  </si>
  <si>
    <t>Grp.</t>
  </si>
  <si>
    <t>Bu Nr</t>
  </si>
  <si>
    <t>Name</t>
  </si>
  <si>
    <t>HA-Nummer</t>
  </si>
  <si>
    <t>EA-Nummer</t>
  </si>
  <si>
    <t>EA (WV)</t>
  </si>
  <si>
    <t>PSP ID Entw</t>
  </si>
  <si>
    <t>Bezeichnung</t>
  </si>
  <si>
    <t>Arbeitspaket</t>
  </si>
  <si>
    <t>AP BESCHREIBUNG</t>
  </si>
  <si>
    <t>ADT</t>
  </si>
  <si>
    <t>BESCHREIBUNG</t>
  </si>
  <si>
    <t>z. BUKR</t>
  </si>
  <si>
    <t>Öffentlicher Kommentar</t>
  </si>
  <si>
    <t>z. Kst/Stelle</t>
  </si>
  <si>
    <t>ZUBEL STELLE</t>
  </si>
  <si>
    <t>E-Std.</t>
  </si>
  <si>
    <t>6520</t>
  </si>
  <si>
    <t>652303</t>
  </si>
  <si>
    <t>RBEI/EEA</t>
  </si>
  <si>
    <t>Bs</t>
  </si>
  <si>
    <t>Bhaskaran, Sarita</t>
  </si>
  <si>
    <t>H1PDG2800</t>
  </si>
  <si>
    <t>012892800</t>
  </si>
  <si>
    <t>GS-295978-15</t>
  </si>
  <si>
    <t>Non-Project-Hours RBEI - general</t>
  </si>
  <si>
    <t>NPH001</t>
  </si>
  <si>
    <t>NPH_DGS-EC_DE-AT-FR</t>
  </si>
  <si>
    <t>VKMF</t>
  </si>
  <si>
    <t>Offshore VKM rate without additional hourly rate</t>
  </si>
  <si>
    <t>2130</t>
  </si>
  <si>
    <t>-</t>
  </si>
  <si>
    <t>295290</t>
  </si>
  <si>
    <t>DGS-EC/NE5-RBEI</t>
  </si>
  <si>
    <t>012892820</t>
  </si>
  <si>
    <t>GS-182453</t>
  </si>
  <si>
    <t>Customer Administration Effort</t>
  </si>
  <si>
    <t>Ka</t>
  </si>
  <si>
    <t>Kumar, Anil</t>
  </si>
  <si>
    <t>H10201210</t>
  </si>
  <si>
    <t>010201223</t>
  </si>
  <si>
    <t>GS-300063-15</t>
  </si>
  <si>
    <t>FPT DI-I4 MED17.3.3  SW additional requirements</t>
  </si>
  <si>
    <t>R00300612</t>
  </si>
  <si>
    <t>Correction of  ESIM timer value due to invalid ECU</t>
  </si>
  <si>
    <t>VAMF</t>
  </si>
  <si>
    <t>Offshore VKM rate + additional hourly rate</t>
  </si>
  <si>
    <t>213112</t>
  </si>
  <si>
    <t>GS/EGM-EU</t>
  </si>
  <si>
    <t>H12300002</t>
  </si>
  <si>
    <t>011320011</t>
  </si>
  <si>
    <t>GS-280850-15</t>
  </si>
  <si>
    <t>Honda 4-cyl 20L 2KR_SW</t>
  </si>
  <si>
    <t>R00279126</t>
  </si>
  <si>
    <t>Classify / Correction of SWAnalyzer output</t>
  </si>
  <si>
    <t>295460</t>
  </si>
  <si>
    <t>DGS-EC/ECA</t>
  </si>
  <si>
    <t>Tool Revision History</t>
  </si>
  <si>
    <t>Ver.</t>
  </si>
  <si>
    <t>Date</t>
  </si>
  <si>
    <t>Changed by</t>
  </si>
  <si>
    <t>Modifications</t>
  </si>
  <si>
    <t>1.0 PR02</t>
  </si>
  <si>
    <t>Sri VV Swamy Putta (RBEI/EEX3)</t>
  </si>
  <si>
    <t>Pre-Release version</t>
  </si>
  <si>
    <t>1.0.0</t>
  </si>
  <si>
    <t>1. Fixed minor issues
2. Separated check no. 7 into 2 checks (Check 7 and Check 14) for releases and workitems.
3. Added button to clear report in Kanban and other sheets
4. Period (Form, To) added to generate Closed report. Closed report will generate closed or cancelled Issues, releases and workitems in the selected period. Query will check the change of state( any state to “Closed” or “Cancelled”) in the selected period</t>
  </si>
  <si>
    <t>1.0.1</t>
  </si>
  <si>
    <t>Updated ConfigLayer for tool header information in http request</t>
  </si>
  <si>
    <t>1.0.2</t>
  </si>
  <si>
    <t>1. Fixed issue the space character in proct, assignee and customer fields
2. If all checks related to Issue/Release/workitem are selected as "No", RQ1 checker will not run query for Issue/Release/Workitem respectively
3. Increased Timeout value for query response</t>
  </si>
  <si>
    <t>1.0.3</t>
  </si>
  <si>
    <t>Removed Date Controls</t>
  </si>
  <si>
    <t>1.0.4</t>
  </si>
  <si>
    <t>1. Fixed few minor issues
2. Added new checks 15,16 and 17
3. Added DFM report which can be used by CE team</t>
  </si>
  <si>
    <t>1.0.5</t>
  </si>
  <si>
    <t>Jeejo P O(RBEI/EEX3)</t>
  </si>
  <si>
    <t>1. Changed the contact name to Muralee Krishna</t>
  </si>
  <si>
    <t>Evaluation to be completed in 2 days</t>
  </si>
  <si>
    <t>Evaluation to be completed in 1 day</t>
  </si>
  <si>
    <t>Evaluation not completed in 5 days</t>
  </si>
  <si>
    <t>additional 16 colors below are not shown on the 40 color toolbar palette but can be seen under Format, Cells, Pattern</t>
  </si>
  <si>
    <t xml:space="preserve">Of the descriptive color names only those for index numbers 1 - 8 can be used in coding. </t>
  </si>
  <si>
    <t>Black</t>
  </si>
  <si>
    <t>Olive Green</t>
  </si>
  <si>
    <t>Dark Green</t>
  </si>
  <si>
    <t>Dark Teal</t>
  </si>
  <si>
    <t>Dark Blue</t>
  </si>
  <si>
    <t>Indigo</t>
  </si>
  <si>
    <t>Gray-80%</t>
  </si>
  <si>
    <t>Dark Red</t>
  </si>
  <si>
    <t>Dark Yellow</t>
  </si>
  <si>
    <t>Green</t>
  </si>
  <si>
    <t>Teal</t>
  </si>
  <si>
    <t>Blue</t>
  </si>
  <si>
    <t>Blue-Gray</t>
  </si>
  <si>
    <t>Gray-50%</t>
  </si>
  <si>
    <t>Lime</t>
  </si>
  <si>
    <t>Sea Green</t>
  </si>
  <si>
    <t>Aqua</t>
  </si>
  <si>
    <t>Light Blue</t>
  </si>
  <si>
    <t>Violet</t>
  </si>
  <si>
    <t>Gray-40%</t>
  </si>
  <si>
    <t>Pink</t>
  </si>
  <si>
    <t>Gold</t>
  </si>
  <si>
    <t>Bright Green</t>
  </si>
  <si>
    <t>Turquoise</t>
  </si>
  <si>
    <t>Plum</t>
  </si>
  <si>
    <t>Gray-25%</t>
  </si>
  <si>
    <t>Rose</t>
  </si>
  <si>
    <t>Tan</t>
  </si>
  <si>
    <t>Light Green</t>
  </si>
  <si>
    <t>Light Turquoise</t>
  </si>
  <si>
    <t>Pale Blue</t>
  </si>
  <si>
    <t>Lavender</t>
  </si>
  <si>
    <t>White</t>
  </si>
  <si>
    <r>
      <t xml:space="preserve">  </t>
    </r>
    <r>
      <rPr>
        <sz val="10"/>
        <color rgb="FFFF0000"/>
        <rFont val="Arial"/>
        <family val="2"/>
      </rPr>
      <t xml:space="preserve">*to be updated* Excel 2000 names colors below (font not patterns) ******** *** ***** ** </t>
    </r>
  </si>
  <si>
    <t>Periwinkle</t>
  </si>
  <si>
    <t>Plum+</t>
  </si>
  <si>
    <t>Ivory</t>
  </si>
  <si>
    <t>Lite Turquoise</t>
  </si>
  <si>
    <t>Dark Purple</t>
  </si>
  <si>
    <t>Coral</t>
  </si>
  <si>
    <t>Ocean Blue</t>
  </si>
  <si>
    <t>Ice Blue</t>
  </si>
  <si>
    <t>Dark Blue+</t>
  </si>
  <si>
    <t>Pink+</t>
  </si>
  <si>
    <t>Yellow+</t>
  </si>
  <si>
    <t>Turquoise+</t>
  </si>
  <si>
    <t>Violet+</t>
  </si>
  <si>
    <t>Dark Red+</t>
  </si>
  <si>
    <t>Teal+</t>
  </si>
  <si>
    <t>Blue+</t>
  </si>
  <si>
    <t>Issues</t>
  </si>
  <si>
    <t>Releases</t>
  </si>
  <si>
    <t>WorkItems</t>
  </si>
  <si>
    <t>No. of Open Tasks</t>
  </si>
  <si>
    <t>No. Of Tasks with Delay</t>
  </si>
  <si>
    <t>1 week</t>
  </si>
  <si>
    <t>2 weeks</t>
  </si>
  <si>
    <t>1 months</t>
  </si>
  <si>
    <t>Cycle Time</t>
  </si>
  <si>
    <t>Created-&gt;Closed</t>
  </si>
  <si>
    <t>Committed-&gt;Closed</t>
  </si>
  <si>
    <t>Lead Time</t>
  </si>
  <si>
    <t>No. Of Tasks Closed</t>
  </si>
  <si>
    <t>EWB</t>
  </si>
  <si>
    <t>RQONE00002409, RQONE00003219, RQONE00003221, RQONE00000056, RQONE00000057, RQONE00002410, RQONE00002413, RQONE00003222,RQONE00058331,RQONE00118701,RQONE00002360,RQONE00002317,RQONE00002321,RQONE00392398,RQONE00002313,RQONE00002315, RQONE00000044, RQONE00000042,RQONE00002319,RQONE00205368,RQONE00217507,RQONE00217509,RQONE00171688,RQONE00171689</t>
  </si>
  <si>
    <t>TLC</t>
  </si>
  <si>
    <t>RQONE00000019,RQONE00000045,RQONE00000046,RQONE00002314,RQONE00002316,RQONE00002318,RQONE00002320,RQONE00002322,RQONE00003075,RQONE00003705,RQONE00004319,RQONE00004415,RQONE00010846,RQONE00092431,RQONE00312653,RQONE00353715,RQONE00354835,RQONE00354840,RQONE00354844,RQONE00354846,RQONE00390043</t>
  </si>
  <si>
    <t>RQONE00002409</t>
  </si>
  <si>
    <t>NSC - Diesel - NOx Storage Catalyst</t>
  </si>
  <si>
    <t>RQONE00003219</t>
  </si>
  <si>
    <t>LamAd - Lambda Adaptation</t>
  </si>
  <si>
    <t>RQONE00003221</t>
  </si>
  <si>
    <t>LamCL - Diesel - Lambda Control Closed-Loop</t>
  </si>
  <si>
    <t>RQONE00000056</t>
  </si>
  <si>
    <t>HEGO - NE2 - Heated Exhaust Gas Oxygen Sensors</t>
  </si>
  <si>
    <t>RQONE00000057</t>
  </si>
  <si>
    <t>TWC - NE2 -Three Way Catalyst</t>
  </si>
  <si>
    <t>RQONE00002410</t>
  </si>
  <si>
    <t>NSC - Gasoline - NOx Storage Catalyst</t>
  </si>
  <si>
    <t>RQONE00002413</t>
  </si>
  <si>
    <t>HEGN - Gasoline - Heated Exhaust Gas Sensor/Nox</t>
  </si>
  <si>
    <t>RQONE00003222</t>
  </si>
  <si>
    <t>LamCL - Gasoline - Lambda Control Closed-Loop</t>
  </si>
  <si>
    <t>RQONE00058331</t>
  </si>
  <si>
    <t>CIb - Cylinder individual lambda control (Lambda signal based)</t>
  </si>
  <si>
    <t>RQONE00118701</t>
  </si>
  <si>
    <t>EGSDia(GS) - DGS-EC/ESE - System diagnosis of exhaust gas sensors</t>
  </si>
  <si>
    <t>RQONE00002360</t>
  </si>
  <si>
    <t>UEGO - Universal Exhaust Gas Oxygen Sensors</t>
  </si>
  <si>
    <t>RQONE00002317</t>
  </si>
  <si>
    <t>AirMod_DS - Air System Model for Diesel</t>
  </si>
  <si>
    <t>RQONE00002321</t>
  </si>
  <si>
    <t>AirDvP - Air Devices Pressure</t>
  </si>
  <si>
    <t>RQONE00392398</t>
  </si>
  <si>
    <t>AirMod AFS_DS_GS - Air flow sensor for Diesel and Gasoline - Air System Model</t>
  </si>
  <si>
    <t>RQONE00002313</t>
  </si>
  <si>
    <t>BstCtl_DS - Engine Boost Control for Diesel</t>
  </si>
  <si>
    <t>RQONE00002315</t>
  </si>
  <si>
    <t>BstSet_DS - Engine Boost Setpoint Calculation for Diesel</t>
  </si>
  <si>
    <t>RQONE00000044</t>
  </si>
  <si>
    <t>ChrCtl_DS - Engine Charge Control for Diesel Systems</t>
  </si>
  <si>
    <t>RQONE00000042</t>
  </si>
  <si>
    <t>ChrSet_DS - Engine Charge Setpoint Calculation for Diesel Systems</t>
  </si>
  <si>
    <t>RQONE00000019</t>
  </si>
  <si>
    <t>PFlt - Particulate Filter</t>
  </si>
  <si>
    <t>RQONE00000045</t>
  </si>
  <si>
    <t>ChrSet - NE5 - Engine Charge Setpoint Calculation</t>
  </si>
  <si>
    <t>RQONE00000046</t>
  </si>
  <si>
    <t>ChrCtl - NE5 - Engine Charge Control</t>
  </si>
  <si>
    <t>RQONE00002314</t>
  </si>
  <si>
    <t>BstCtl - NE5 - Engine Boost Control</t>
  </si>
  <si>
    <t>RQONE00002316</t>
  </si>
  <si>
    <t>BstSet - NE5 - Engine Boost Setpoint Calculation</t>
  </si>
  <si>
    <t>RQONE00002318</t>
  </si>
  <si>
    <t>AirMod - NE5 - Air System Model</t>
  </si>
  <si>
    <t>RQONE00002322</t>
  </si>
  <si>
    <t>AirDvP - NE5 - Air Devices Pressure</t>
  </si>
  <si>
    <t>RQONE00003075</t>
  </si>
  <si>
    <t>HEGO - NE5 - Heated Exhaust Gas Oxygen Sensors</t>
  </si>
  <si>
    <t>RQONE00003705</t>
  </si>
  <si>
    <t>GlwSys - NE5 - Glow Control</t>
  </si>
  <si>
    <t>RQONE00004319</t>
  </si>
  <si>
    <t>TWC - NE5 -Three Way Catalyst</t>
  </si>
  <si>
    <t>RQONE00004415</t>
  </si>
  <si>
    <t>OxiCat - Oxidation Catalyst</t>
  </si>
  <si>
    <t>RQONE00010846</t>
  </si>
  <si>
    <t>ExhCo - Gasoline - Exhaust System Coordinator</t>
  </si>
  <si>
    <t>RQONE00092431</t>
  </si>
  <si>
    <t>UEGO - CJ125 Diesel Classic - Universal Exhaust Gas Oxygen Sensors</t>
  </si>
  <si>
    <t>RQONE00312653</t>
  </si>
  <si>
    <t>AirDev - Air System Devices</t>
  </si>
  <si>
    <t>RQONE00353715</t>
  </si>
  <si>
    <t>HEGO - VM Group - RBEI - Gasoline - Heated exhaust gas oxygen sensors</t>
  </si>
  <si>
    <t>RQONE00354835</t>
  </si>
  <si>
    <t>LamCL - VM Group - RBEI - Gasoline - Lambda Control closed-loop</t>
  </si>
  <si>
    <t>RQONE00354840</t>
  </si>
  <si>
    <t>ExhMgT - VM Group - RBEI - Gasoline - Exhaust Temperature Management</t>
  </si>
  <si>
    <t>RQONE00354844</t>
  </si>
  <si>
    <t>ExhMod - VM Group - RBEI - Gasoline - Exhaust Determination Model</t>
  </si>
  <si>
    <t>RQONE00354846</t>
  </si>
  <si>
    <t>TWC - VM Group - RBEI - Gasoline - Three-Way Catalyst Control</t>
  </si>
  <si>
    <t>RQONE00390043</t>
  </si>
  <si>
    <t>ExhCo -  VM Group - RBEI - Gasoline - Exhaust System Coordination</t>
  </si>
  <si>
    <t>Integrate with Promics data (Actual/Estimated) -&gt; Add Estimated and Booked effort columns</t>
  </si>
  <si>
    <t>Graphs for delayed tasks</t>
  </si>
  <si>
    <t>=SUMIFS(PromicsData!V:V,PromicsData!N:N,"R"&amp;RIGHT(C3,8))</t>
  </si>
  <si>
    <t>BM-00090880_002 FC-EA</t>
  </si>
  <si>
    <t xml:space="preserve">14. WorkItem not closed after planned date
</t>
  </si>
  <si>
    <t>BM-00090880_004</t>
  </si>
  <si>
    <t>Pham Minh Quan (MS/EEU13-PS) (PQU7HC)</t>
  </si>
  <si>
    <t>RQONE04417110</t>
  </si>
  <si>
    <t>##[CH-35452746] Umsetzung CAN-DFL V7.28.01.03A mit OBD-Protokollumschaltung#4-2025#2869507#2869507 - CAN Hw Objects reduction</t>
  </si>
  <si>
    <t>Defect</t>
  </si>
  <si>
    <t>RQONE04454034</t>
  </si>
  <si>
    <t>Implementation - ##[CH-35452746] Umsetzung CAN-DFL V7.28.01.03A mit OBD-Protokollumschaltung#4-2025#2869507#2869507 - CAN Hw Objects reduction</t>
  </si>
  <si>
    <t>RQONE04454037</t>
  </si>
  <si>
    <t>Review of Implementation - ##[CH-35452746] Umsetzung CAN-DFL V7.28.01.03A mit OBD-Protokollumschaltung#4-2025#2869507#2869507 - CAN Hw Objects reduction</t>
  </si>
  <si>
    <t>RQONE04454041</t>
  </si>
  <si>
    <t>Test Execution - ##[CH-35452746] Umsetzung CAN-DFL V7.28.01.03A mit OBD-Protokollumschaltung#4-2025#2869507#2869507 - CAN Hw Objects reduction</t>
  </si>
  <si>
    <t>BM-00090880_006</t>
  </si>
  <si>
    <t>Alizadeh Fatemeh (PS-SC/EFV4) (afa83wi)</t>
  </si>
  <si>
    <t>RQONE04425580</t>
  </si>
  <si>
    <t>Review of Implementation - Bugfix - Propulsion system active signal muted contrary to requirement when executing 28 01 01 - Part ComVeh -  MQBw Mainline</t>
  </si>
  <si>
    <t>SwSAPSA - PSA Group - Software Sharing Adapter PSA</t>
  </si>
  <si>
    <t>SwSAPSA - STLA Group - Software Sharing Adapter</t>
  </si>
  <si>
    <t>VC1CP019 PSA eVCU</t>
  </si>
  <si>
    <t>RQONE00001940, RQONE00009617, RQONE03778238, RQONE01709705, RQONE00002123, RQONE00002336, RQONE00002352, RQONE00032318, RQONE00756828</t>
  </si>
  <si>
    <t>Oil -  VW Group, Daimler - Oil Devices</t>
  </si>
  <si>
    <t>BM-00075641_021</t>
  </si>
  <si>
    <t>EngTmr - Engine Timer Functions</t>
  </si>
  <si>
    <t>PSA</t>
  </si>
  <si>
    <t>EngM - VW Group, Daimler - Engine Mechanics</t>
  </si>
  <si>
    <t>EngM - Engine Mechanics</t>
  </si>
  <si>
    <t>Oil - Oil Devices</t>
  </si>
  <si>
    <t>BM-00047392_018</t>
  </si>
  <si>
    <t>Vo Van Chinh (MS/EEU12-PS) (VOC7HC)</t>
  </si>
  <si>
    <t>Pham Minh Quan (MS/EPS21-SWC)</t>
  </si>
  <si>
    <t>RQONE04639679</t>
  </si>
  <si>
    <t>FC-ARA : BstCtl_CSwSPSA / 47.0.0</t>
  </si>
  <si>
    <t>Nguyen Van Tien (MS/EPS21-SWC)</t>
  </si>
  <si>
    <t>Nguyen Van Tien (MS/EEU43-PS) (GTI9HC)</t>
  </si>
  <si>
    <t>RQONE04640165</t>
  </si>
  <si>
    <t>FC-ARA : ComDia_CSwSPSA / 47.0.0</t>
  </si>
  <si>
    <t>RQONE04641536</t>
  </si>
  <si>
    <t>FC-ARA : CoEng_CSwSPSA / 47.0.0</t>
  </si>
  <si>
    <t>RQONE04642631</t>
  </si>
  <si>
    <t>FC-ARA : ComVeh_CSwSPSA / 47.0.0</t>
  </si>
  <si>
    <t>RQONE04642705</t>
  </si>
  <si>
    <t>FC-ARA : ElDev_CSwSPSA / 47.0.0</t>
  </si>
  <si>
    <t>RQONE04642755</t>
  </si>
  <si>
    <t>FC-ARA : EngStrt_CSwSPSA / 47.0.0</t>
  </si>
  <si>
    <t>RQONE04642772</t>
  </si>
  <si>
    <t>FC-ARA : Epm_CSwSPSA / 47.0.0</t>
  </si>
  <si>
    <t>RQONE04642803</t>
  </si>
  <si>
    <t>FC-ARA : ExhDvT_CSwSPSA / 47.0.0</t>
  </si>
  <si>
    <t>RQONE04642852</t>
  </si>
  <si>
    <t>FC-ARA : ExhMod_CSwSPSA / 47.0.0</t>
  </si>
  <si>
    <t>RQONE04642864</t>
  </si>
  <si>
    <t>FC-ARA : GlwSys_CSwSPSA / 47.0.0</t>
  </si>
  <si>
    <t>RQONE04642968</t>
  </si>
  <si>
    <t>FC-ARA : InjCor_CSwSPSA / 47.0.0</t>
  </si>
  <si>
    <t>RQONE04642986</t>
  </si>
  <si>
    <t>FC-ARA : InjHyd_CSwSPSA / 47.0.0</t>
  </si>
  <si>
    <t>RQONE04643002</t>
  </si>
  <si>
    <t>FC-ARA : InjSys_CSwSPSA / 47.0.0</t>
  </si>
  <si>
    <t>RQONE04644851</t>
  </si>
  <si>
    <t>FC-ARA : DSMBas_CSwSPSA / 47.0.0</t>
  </si>
  <si>
    <t>RQONE04685292</t>
  </si>
  <si>
    <t>Change Request Evaluation FD --- BugFix : Mo_FahrZeugTyp Sideline 780</t>
  </si>
  <si>
    <t xml:space="preserve">4. Issue is not committed, eventhough parent I-SW is committed
</t>
  </si>
  <si>
    <t>Review of Implementation</t>
  </si>
  <si>
    <r>
      <t>RQONE04417110</t>
    </r>
    <r>
      <rPr>
        <sz val="10"/>
        <rFont val="Arial"/>
      </rPr>
      <t xml:space="preserve">
Pham Minh Quan (MS/EPS21-SWC)</t>
    </r>
  </si>
  <si>
    <r>
      <t>RQONE04425580</t>
    </r>
    <r>
      <rPr>
        <sz val="10"/>
        <rFont val="Arial"/>
      </rPr>
      <t xml:space="preserve">
Pham Minh Quan (MS/EPS21-SWC)
5/9/2025</t>
    </r>
  </si>
  <si>
    <r>
      <t>RQONE04454034</t>
    </r>
    <r>
      <rPr>
        <sz val="10"/>
        <rFont val="Arial"/>
      </rPr>
      <t xml:space="preserve">
Pham Minh Quan (MS/EPS21-SWC)
4/25/2025</t>
    </r>
  </si>
  <si>
    <r>
      <t>RQONE04454037</t>
    </r>
    <r>
      <rPr>
        <sz val="10"/>
        <rFont val="Arial"/>
      </rPr>
      <t xml:space="preserve">
Pham Minh Quan (MS/EPS21-SWC)
4/25/2025</t>
    </r>
  </si>
  <si>
    <r>
      <t>RQONE04454041</t>
    </r>
    <r>
      <rPr>
        <sz val="10"/>
        <rFont val="Arial"/>
      </rPr>
      <t xml:space="preserve">
Pham Minh Quan (MS/EPS21-SWC)
4/25/2025</t>
    </r>
  </si>
  <si>
    <r>
      <t>RQONE04685292</t>
    </r>
    <r>
      <rPr>
        <sz val="10"/>
        <rFont val="Arial"/>
      </rPr>
      <t xml:space="preserve">
Pham Minh Quan (MS/EPS21-SWC)
</t>
    </r>
  </si>
  <si>
    <t>MS/EPC42-PS, MS/EPS21-SWC</t>
  </si>
  <si>
    <t>RQONE03792807</t>
  </si>
  <si>
    <t>##K-Matrix Umsetzung  V12.08.03 für das VKM SG in der E³ Plattform#44-2023#2732807#2732807 - CAN Hw Objects reduction</t>
  </si>
  <si>
    <t>Tayyib Cherif (PS-EC/EFV4) (tc82wi)</t>
  </si>
  <si>
    <t>Dang Sy Binh (MS/EPC42-PS)</t>
  </si>
  <si>
    <t>RQONE03817557</t>
  </si>
  <si>
    <t>Requirement (Non Functional)</t>
  </si>
  <si>
    <t>PDUImporter tool updates for BSW2303</t>
  </si>
  <si>
    <t>Le The Anh (MS/EEU13-PS) (HEA1HC)</t>
  </si>
  <si>
    <t>Nguyen Don Anh Minh (MS/EPC42-PS)</t>
  </si>
  <si>
    <t>BM-00006262_013 (TOP90)</t>
  </si>
  <si>
    <t>Huynh Trong Hieu (MS/EPC42-PS)</t>
  </si>
  <si>
    <t>RQONE04146778</t>
  </si>
  <si>
    <t>[SpecialTopic] ComVeh Classic False alarm resolution: HiL and SiL Test Automation – Prio A</t>
  </si>
  <si>
    <t>Mohapatra Biswajeet (MS/EFV21-PS) (bis1cob)</t>
  </si>
  <si>
    <t>Huynh Quoc Hoang (MS/EPC42-PS)</t>
  </si>
  <si>
    <t>FC: BM-00006262_013</t>
  </si>
  <si>
    <t>Le Do Nguyen Chuong (MS/EPC42-PS)</t>
  </si>
  <si>
    <t>Suljagic Alen (PS-SC/EFB5) (sua83wi)</t>
  </si>
  <si>
    <t>Nguyen Anh Khoa (MS/EPC42-PS)</t>
  </si>
  <si>
    <t>RQONE04194993</t>
  </si>
  <si>
    <t>EP6KM : Purge concentration calculation done incorrectly Successor</t>
  </si>
  <si>
    <t>Husainsab Rajasab (MS/EEP14-PS) (hua2kor)</t>
  </si>
  <si>
    <t>Nguyen Dang Ngung (MS/EPC42-PS)</t>
  </si>
  <si>
    <t>BM-00075611_006</t>
  </si>
  <si>
    <t>Bui Huu Loc (MS/EPC42-PS)</t>
  </si>
  <si>
    <t>RQONE04287855</t>
  </si>
  <si>
    <t>LAH.DUM.910.C.1 Knockout von Steuergeraeten V1.3 - Static - ComVeh 504</t>
  </si>
  <si>
    <t>Kandler Martin (PS-SC/EFV4) (km82wi)</t>
  </si>
  <si>
    <t>Truong Van Ngoc Em (MS/EPC42-PS)</t>
  </si>
  <si>
    <t>RQONE04294988</t>
  </si>
  <si>
    <t>MG1CS051_  carasi _ reference specification with additonal _1_ --&gt; its impact analysis in all line of Eu6.4</t>
  </si>
  <si>
    <t>Vinu Anusha Chellappan (MS/EEP32-PS) (chv4cob)</t>
  </si>
  <si>
    <t>BM-00050503_009</t>
  </si>
  <si>
    <t>RQONE04300798</t>
  </si>
  <si>
    <t>Bugfix - Propulsion system active signal muted contrary to requirement when executing 28 01 01 - Part ComVeh -  MQBw Mainline</t>
  </si>
  <si>
    <t>Austria</t>
  </si>
  <si>
    <t>Other (not listed category)</t>
  </si>
  <si>
    <t>RQONE04325480</t>
  </si>
  <si>
    <t>##[CHO-33040147] MQBevo / Verbundrelease V14.10.02#48-2024#2860199#2860199 - CAN Hw Objects reduction</t>
  </si>
  <si>
    <t>Nguyen Nhat Duy (MS/EPC42-PS)</t>
  </si>
  <si>
    <t>RQONE04330446</t>
  </si>
  <si>
    <t>Implementation - EA839evo Audi V6T LK2 EU7: Entwicklung generischer Lösung für Anbindung Secundary OBD ECUs in der Berechnung der CALID</t>
  </si>
  <si>
    <t>Montes Saralegui Marta (PS-SC/EFV3) (mam83wi)</t>
  </si>
  <si>
    <t>BM-00047392_009</t>
  </si>
  <si>
    <t>RQONE04470558</t>
  </si>
  <si>
    <t>01552_22_02754_v10_0_CARASI_eCAT_MHEV_PHEV_EURO_7_P2_VC2_PROTO</t>
  </si>
  <si>
    <t>Dewulf Thibault (PS-SC/ECS3) (dew1so)</t>
  </si>
  <si>
    <t>Mahindra &amp; Mahindra</t>
  </si>
  <si>
    <t>RQONE04505928</t>
  </si>
  <si>
    <t>[SRL-006]-MX17 to MDG migration for G12 TGDI BS6.2 MT &amp; AT projects-  BC : EngTmr</t>
  </si>
  <si>
    <t>Kavitha K G (MS/EEA3-PS) (kav5kor)</t>
  </si>
  <si>
    <t>Chau Tri Cuong (MS/EPC42-PS)</t>
  </si>
  <si>
    <t>BM-00102198_004</t>
  </si>
  <si>
    <t>RQONE04542079</t>
  </si>
  <si>
    <t>[MG1CS052]_EU7_ICE_CArASI_IM1_EB_ICE_Euro7_01552_25_01924_v1.0</t>
  </si>
  <si>
    <t>Meilland Xavier (PS-SC/ECS11) (ex81so)</t>
  </si>
  <si>
    <t>Tayyib Cherif (PS-SC/EFV4) (tc82wi)</t>
  </si>
  <si>
    <t>Bellier Tommy (PS-SC/ECS21) (BET2SO)</t>
  </si>
  <si>
    <t>Nguyen Huu Dat (MS/EPC42-PS)</t>
  </si>
  <si>
    <t>BM-00035603_008</t>
  </si>
  <si>
    <t>RQONE04556892</t>
  </si>
  <si>
    <t>[eVCU Br2 Eu7] BSW2409 Migration - SwSAPSA migration</t>
  </si>
  <si>
    <t>RQONE04571685</t>
  </si>
  <si>
    <t>[MG1CS052]_EU7_01552_22_02754_v11_0_CARASI_eCAT_MHEV_PHEV_EURO_7_P2_VA2_1</t>
  </si>
  <si>
    <t>BM-00026895_049</t>
  </si>
  <si>
    <t>RQONE04592282</t>
  </si>
  <si>
    <t>[DVeuro7][BSWUpdate] BSW update 2409 Adapter</t>
  </si>
  <si>
    <t>Francois Quentin (PS-SC/ECS3) (FRQ1SO)</t>
  </si>
  <si>
    <t>BM-00102523_008 : Acquition Budget to be used until End.June2025
BM-00102523_009 : For SW Development
BM-00102523_012 : For Core Team
(PjM ECU+SW, BSW Migration, Lead EPQ, PEC-C, PSEC-M, FMEA Moderator, Test Automation Engineer, SIL, Tools, PSM and FUSA Audit)</t>
  </si>
  <si>
    <t>RQONE04592285</t>
  </si>
  <si>
    <t>Sreedivika Lingutla (MS/EEP14-PS) (ZLI1KOR)</t>
  </si>
  <si>
    <t>RQONE04599834</t>
  </si>
  <si>
    <t>01552_25_02268_v1.0</t>
  </si>
  <si>
    <t>Prashanth Soundar Rajan (PS-SC/ECS3) (pso7kor)</t>
  </si>
  <si>
    <t>BM-00102523_009</t>
  </si>
  <si>
    <t>RQONE04603512</t>
  </si>
  <si>
    <t>[MG1CS052]_EU7_01552_22_02754_v11_0_CARASI_eCAT_MHEV_PHEV_EURO_7_P2_VA2_1_IM2</t>
  </si>
  <si>
    <t>RQONE04611021</t>
  </si>
  <si>
    <t>MISRA2012 Warning Removal - BC : ComVeh / 709.33.0</t>
  </si>
  <si>
    <t>Seidl Lukas (PS-SC/EFV4) (SEL1WI)</t>
  </si>
  <si>
    <t>Dang Dinh Gia Bao (MS/EPC42-PS)</t>
  </si>
  <si>
    <t>BM-00026895_049: ECU RC LAH Umsetzung</t>
  </si>
  <si>
    <t>RQONE04611857</t>
  </si>
  <si>
    <t>[MG1CS052]_EU7_ICE_SWSAPSA_Patches</t>
  </si>
  <si>
    <t>Basavaraj Poornima (MS/EEP13-PS) (OAQ2KOR)</t>
  </si>
  <si>
    <t>RQONE04614283</t>
  </si>
  <si>
    <t>Sreedivika Lingutla (MS/EEP5-PS) (ZLI1KOR)</t>
  </si>
  <si>
    <t>MAN SE</t>
  </si>
  <si>
    <t>RQONE04638004</t>
  </si>
  <si>
    <t>Oil: VollMD1+ 2025: Ansteuerung einer elektrischen Ölpumpe</t>
  </si>
  <si>
    <t>Gyoerfi Karl-Heinz (PS-SC/ECC1) (gyk2fe)</t>
  </si>
  <si>
    <t>Khuat Duy Nguyen (MS/EPC42-PS)</t>
  </si>
  <si>
    <t>Required</t>
  </si>
  <si>
    <t>PLEASE ONLY KEEP THE RELATED PROJECT BM NUMBER!
BM-00068881_006 P2332 development and integration efforts 
BM-00068881_006 P1511, P1629 IVD development and integration efforts 
BM-00084789_005 P237x development and integration efforts
Please confirm the BM-Number by I-SW Owner</t>
  </si>
  <si>
    <t>RQONE04638620</t>
  </si>
  <si>
    <t>[MG1CS052]_EU7_01552_22_02754_v12_1_CARASI_eCAT_MHEV_PHEV_EURO_7_P2_VC2_1</t>
  </si>
  <si>
    <t>Pham Nguyen Ngoc Toan (MS/EPC42-PS)</t>
  </si>
  <si>
    <t>Al-Hasnawi Mustafa (PS-SC/EFV4) (ALM3WI)</t>
  </si>
  <si>
    <t>Tran Ngoc Cat (MS/EPC42-PS)</t>
  </si>
  <si>
    <t>RQONE04646078</t>
  </si>
  <si>
    <t>##MLBevo K-Matrix-Integration für die Version V8.30.0#15-2025#2892218#2892218 - Automatisierte CALID/CVN Code Generierung</t>
  </si>
  <si>
    <t>Trunner Magdalena (PS-SC/EFV4) (TRM83WI)</t>
  </si>
  <si>
    <t>RQONE04660700</t>
  </si>
  <si>
    <t>Robustheitsmaßnahme für COMScl 10ms - E3 - BC: ComVeh 709.x.x</t>
  </si>
  <si>
    <t>RQONE04660717</t>
  </si>
  <si>
    <t>Robustheitsmaßnahme für COMScl 10ms - MLBEvo - BC: ComVeh 609.x.x</t>
  </si>
  <si>
    <t>Stellantis</t>
  </si>
  <si>
    <t>RQONE04668102</t>
  </si>
  <si>
    <t>Nguyen Dang Ngung (MS/EEU14-PS) (GYG6HC)</t>
  </si>
  <si>
    <t>RQONE04668104</t>
  </si>
  <si>
    <t>01552_25_02268_v1.2</t>
  </si>
  <si>
    <t>Dao Phi Duong (MS/EPC42-PS)</t>
  </si>
  <si>
    <t>RQONE04670881</t>
  </si>
  <si>
    <t>BugFix : Mo_FahrZeugTyp Sideline 780</t>
  </si>
  <si>
    <t>Vo Van Chinh (MS/EPC42-PS)</t>
  </si>
  <si>
    <t>RQONE04676800</t>
  </si>
  <si>
    <t>Robustheitsmaßnahme für COMScl 5ms - E3 - BC: ComVeh 709.x.x</t>
  </si>
  <si>
    <t>To Be decided</t>
  </si>
  <si>
    <t>RQONE04676801</t>
  </si>
  <si>
    <t>Robustheitsmaßnahme für COMScl 5ms - MLBEvo - BC: ComVeh 609.x.x</t>
  </si>
  <si>
    <t>RQONE04676802</t>
  </si>
  <si>
    <t>Robustheitsmaßnahme für COMScl 5ms - MQBCubas - BC: ComVeh 504.x.x</t>
  </si>
  <si>
    <t>RQONE04676963</t>
  </si>
  <si>
    <t>Moving BC:ConfAr content to Adapter</t>
  </si>
  <si>
    <t>Vm Manoharvarma Konduru (MS/EEP35-PS) (VOM2KOR)</t>
  </si>
  <si>
    <t>BM-00102523_009 : For SW Development
BM-00102523_012 : For Core Team
(PjM ECU+SW, BSW Migration, Lead EPQ, PEC-C, PSEC-M, FMEA Moderator, Test Automation Engineer, SIL, Tools, PSM and FUSA Audit)</t>
  </si>
  <si>
    <t>RQONE04681579</t>
  </si>
  <si>
    <t>[MG1CS052]_Eu7_01552_22_02754_v12_2_CARASI_eCAT_MHEV_PHEV_EURO_7_P2_VC2_1</t>
  </si>
  <si>
    <t>RQONE04683389</t>
  </si>
  <si>
    <t>##Motorlagerinitialisierung#22-2025#2901716#2901716</t>
  </si>
  <si>
    <t>Thenmozhi Marappan (MS/EFV32-PS) (mat2cob)</t>
  </si>
  <si>
    <t>Umsetzung DFAB+ SW Ablieferung 
BM-00033479_010 SW
BM-00090880_004  FC</t>
  </si>
  <si>
    <t>Nguyen Hoang Kha (MS/EPC42-PS)</t>
  </si>
  <si>
    <t>RQONE04689901</t>
  </si>
  <si>
    <t>BugFix : Mo_FahrZeugTyp 609</t>
  </si>
  <si>
    <t>Nguyen Ba Vu Thach (MS/EPC42-PS)</t>
  </si>
  <si>
    <t>RQONE04700280</t>
  </si>
  <si>
    <t>LAH.4N0.907.BR Buseigendiagnose V2.0 -  FB E1 TrM - Umsetzung Single / Dual Channel Konzept für SPDUs - MQB</t>
  </si>
  <si>
    <t>BM-00090880_008</t>
  </si>
  <si>
    <t>RQONE04713818</t>
  </si>
  <si>
    <t>[MG1CS052]_EU7_ICE_01552_25_01924_v3.0</t>
  </si>
  <si>
    <t>Basavaraj Poornima (MS/EEP35-PS) (OAQ2KOR)</t>
  </si>
  <si>
    <t>Nguyen Dang Ngung (MS/EEU12-PS) (GYG6HC)</t>
  </si>
  <si>
    <t>Bui Sy Quan (MS/EPC42-PS)</t>
  </si>
  <si>
    <t>RQONE04716978</t>
  </si>
  <si>
    <t>RQONE04720753</t>
  </si>
  <si>
    <t>01552_21_07967_v27.0 - CArASI for eVCU V2C14</t>
  </si>
  <si>
    <t>Arvind A (MS/ECB63-PS) (BRB2COB)</t>
  </si>
  <si>
    <t>Nguyen Vuu Huy Hoang (MS/EPC42-PS)</t>
  </si>
  <si>
    <t>Mercedes Benz</t>
  </si>
  <si>
    <t>RQONE04726465</t>
  </si>
  <si>
    <t>RQONE04727695</t>
  </si>
  <si>
    <t>BC SwSAPSA -[P1396 PSA DV5R]PM Sensor change from Gen 2.2 -&gt; Gen 2.5</t>
  </si>
  <si>
    <t>Praneeth Dpv (MS/EEP32-PS) (DFN1KOR)</t>
  </si>
  <si>
    <t>BM-00003081_015</t>
  </si>
  <si>
    <t>Nguyen Huu Dat (MS/EEU14-PS) (DUY3HC)</t>
  </si>
  <si>
    <t>Pham Nguyen Ngoc Toan (MS/EEU14-PS) (PTO2HC)</t>
  </si>
  <si>
    <t>Thenmozhi Marappan (MS/ECV62-PS) (mat2cob)</t>
  </si>
  <si>
    <t>Truong Chi Long (MS/EPC42-PS)</t>
  </si>
  <si>
    <t>RQONE04737270</t>
  </si>
  <si>
    <t>RQONE04738002</t>
  </si>
  <si>
    <t>01552_21_07967_v27.1 - CArASI for eVCU V2C14</t>
  </si>
  <si>
    <t>Shrinidhi Chandrashekhar Magadal (MS/EEP35-PS) (ihm2kor)</t>
  </si>
  <si>
    <t>RQONE04738777</t>
  </si>
  <si>
    <t>[MG1CS052]_EU7_01552_22_02754_v12_3_CARASI_eCAT_MHEV_PHEV_EURO_7_P2_VC2_1</t>
  </si>
  <si>
    <t>RQONE04743295</t>
  </si>
  <si>
    <t>Improve ECU test packages and library for MQB ComVeh</t>
  </si>
  <si>
    <t>Huynh Quoc Hoang (MS/EEU12-PS) (HYO2HC)</t>
  </si>
  <si>
    <t>Khuat Duy Nguyen (MS/EEU12-PS) (KHN4HC)</t>
  </si>
  <si>
    <t>RQONE04766348</t>
  </si>
  <si>
    <t>[MG1CS052]_EU7_ICE_01552_25_01924_v4.0</t>
  </si>
  <si>
    <t>RQONE04768226</t>
  </si>
  <si>
    <t>01552_25_04176_v1.0_CARASI_eVCU_E1C1</t>
  </si>
  <si>
    <t>Gatin Geoffrey (PS-SC/ECS5.2) (GAG1BUE)</t>
  </si>
  <si>
    <t>RQONE04769686</t>
  </si>
  <si>
    <t>01552_21_02627_v33.0 - CArASI for eVCU W1C11</t>
  </si>
  <si>
    <t>RQONE04771699</t>
  </si>
  <si>
    <t>Software migration from W1C9 to W1C11 included - SwSAPSA</t>
  </si>
  <si>
    <t>RQONE04775210</t>
  </si>
  <si>
    <t>[MG1CS052]_EU7_01552_22_02754_v13.0_CARASI_eCAT_MHEV_PHEV_EURO_7_P2_VC3</t>
  </si>
  <si>
    <t>Dewulf Thibault (PS-SC/ECS4) (dew1so)</t>
  </si>
  <si>
    <t>RQONE04776017</t>
  </si>
  <si>
    <t>RQONE04776835</t>
  </si>
  <si>
    <t>[ECS3103][SWSAPSA] imported interface update</t>
  </si>
  <si>
    <t>Le Do Nguyen Chuong (MS/EEU14-PS) (LEC2HC)</t>
  </si>
  <si>
    <t>RQONE04778277</t>
  </si>
  <si>
    <t>[MG1CS052]_EU7_01552_22_02754_v13.1_CARASI_eCAT_MHEV_PHEV_EURO_7_P2_VC3</t>
  </si>
  <si>
    <t>RQONE04784772</t>
  </si>
  <si>
    <t>##[CH-43668112] SWSVW_Adp_DMG1311VH1P2444_12.1.0_Teil3#25-2025#2904688#2904688 Anteil ComVeh - BAP Changes</t>
  </si>
  <si>
    <t>RQONE04789557</t>
  </si>
  <si>
    <t>##[CH-47599589] Child-Change of Fehlerabstellmaßnahme: Motorschmierfunktion (Schleppen)#37-2025#2921861#2921861</t>
  </si>
  <si>
    <t>BM-00090880_002 FC-EA
BM-00090483_005 IN-EA</t>
  </si>
  <si>
    <t>RQONE04790413</t>
  </si>
  <si>
    <t>01552_22_04583_v28.0 - CARASI eVCU BEV2 Branch W2C10bis</t>
  </si>
  <si>
    <t>RQONE04790613</t>
  </si>
  <si>
    <t>01552_25_04422_v1.0 - CArASI for eVCU E2C1</t>
  </si>
  <si>
    <t xml:space="preserve">1. I-FD 5 Day SLA breach
</t>
  </si>
  <si>
    <t>RQONE04794562</t>
  </si>
  <si>
    <t>01552_21_07967_v27.2 - CArASI for eVCU V2C14</t>
  </si>
  <si>
    <t>RQONE04795814</t>
  </si>
  <si>
    <t>01552_25_02268_v1.3</t>
  </si>
  <si>
    <t>Prashanth Soundar Rajan (PS-SC/ECS4) (pso7kor)</t>
  </si>
  <si>
    <t>Le Do Nguyen Chuong (MS/EPC42-PS) (LEC2HC)</t>
  </si>
  <si>
    <t>RQONE04805990</t>
  </si>
  <si>
    <t>Pham Nguyen Ngoc Toan (MS/EPC42-PS) (PTO2HC)</t>
  </si>
  <si>
    <t>RQONE04806300</t>
  </si>
  <si>
    <t>[eVCU Br2Bis Eu7] BSW2409 Migration - SwSAPSA migration</t>
  </si>
  <si>
    <t>Bellier Tommy (PS-SC/ECS2.1) (BET2SO)</t>
  </si>
  <si>
    <t>RQONE03452005</t>
  </si>
  <si>
    <t>FC-ARB : ComScl_NetMtrx / 780.91.0</t>
  </si>
  <si>
    <t>Nguyen Anh Khoa (MS/EEU13-PS) (NYK4HC)</t>
  </si>
  <si>
    <t>RQONE03759936</t>
  </si>
  <si>
    <t>FC-ARA : EngStrt_CSwSPSA / 50.6.0</t>
  </si>
  <si>
    <t>Vuong Trong Tin (MS/EEU14-PS) (VTI2HC)</t>
  </si>
  <si>
    <t>RQONE03759968</t>
  </si>
  <si>
    <t>FC-ARA : EngStrt_SwSPSA / 50.6.0</t>
  </si>
  <si>
    <t>RQONE03759990</t>
  </si>
  <si>
    <t>FC-ARA : EngTmr_CSwSPSA / 50.6.0</t>
  </si>
  <si>
    <t>RQONE03760007</t>
  </si>
  <si>
    <t>FC-ARA : Epm_CSwSPSA / 50.6.0</t>
  </si>
  <si>
    <t>RQONE03760027</t>
  </si>
  <si>
    <t>FC-ARA : Epm_SwSPSA / 50.6.0</t>
  </si>
  <si>
    <t>RQONE03760104</t>
  </si>
  <si>
    <t>FC-ARA : FlMA_CSwSPSA / 50.6.0</t>
  </si>
  <si>
    <t>RQONE03760140</t>
  </si>
  <si>
    <t>FC-ARA : FlSplG_SwSPSA / 50.6.0</t>
  </si>
  <si>
    <t>RQONE03760168</t>
  </si>
  <si>
    <t>FC-ARA : FPCtl_CSwSPSA / 50.6.0</t>
  </si>
  <si>
    <t>RQONE03958625</t>
  </si>
  <si>
    <t>BC</t>
  </si>
  <si>
    <t>BC : ComVeh / 609.x.x.Dummy_Automation_Internal</t>
  </si>
  <si>
    <t>Snigda Sreenivasan (MS/EFV21-PS) (ssr5cob)</t>
  </si>
  <si>
    <t xml:space="preserve">5. Predecessor is not mapped to release
</t>
  </si>
  <si>
    <t>RQONE04154500</t>
  </si>
  <si>
    <t>BC : ComVeh / 780.*.*.Dummy_Automation_Internal</t>
  </si>
  <si>
    <t xml:space="preserve">9. BC-R is not in planned state 2 weeks before planned delivery date
</t>
  </si>
  <si>
    <t>RQONE04507855</t>
  </si>
  <si>
    <t>BC : EngTmr / 148.0.0</t>
  </si>
  <si>
    <t>RQONE04507860</t>
  </si>
  <si>
    <t>FC : BGTABSTAD / 14.0.0</t>
  </si>
  <si>
    <t>RQONE04521244</t>
  </si>
  <si>
    <t>FC-ARB : ComScl_NetMtrx / 709.267.0_V12.10.04.1.0</t>
  </si>
  <si>
    <t>Iyer Vijendran (MS/EFV21-PS) (LYV1KOR)</t>
  </si>
  <si>
    <t>RQONE04555082</t>
  </si>
  <si>
    <t>FC-ARB : ComScl_NetMtrx / 780.212.0</t>
  </si>
  <si>
    <t>RQONE04614806</t>
  </si>
  <si>
    <t>BC : SwSAPSA / 47.0.0</t>
  </si>
  <si>
    <t>RQONE04623826</t>
  </si>
  <si>
    <t>BC : SwSAPSA / 80.0.0</t>
  </si>
  <si>
    <t>RQONE04628961</t>
  </si>
  <si>
    <t>FC-ARA : AirDvP_SwSPSA / 47.0.0</t>
  </si>
  <si>
    <t>RQONE04631624</t>
  </si>
  <si>
    <t>FC-ARA : VehM_SwSPSA / 47.0.0</t>
  </si>
  <si>
    <t>Dao Phi Duong (MS/EEU41-PS) (DAP9HC)</t>
  </si>
  <si>
    <t>RQONE04631754</t>
  </si>
  <si>
    <t>FC-ARA : AirMod_SwSPSA / 47.0.0</t>
  </si>
  <si>
    <t>Bui Sy Quan (MS/EEU41-PS) (BUS3HC)</t>
  </si>
  <si>
    <t>RQONE04631877</t>
  </si>
  <si>
    <t>FC-ARA : API_DELib_SwSPSA / 47.0.0</t>
  </si>
  <si>
    <t>RQONE04632283</t>
  </si>
  <si>
    <t>FC-ARA : ASDCtl_SwSPSA / 47.0.0</t>
  </si>
  <si>
    <t>RQONE04632967</t>
  </si>
  <si>
    <t>FC-ARA : BstCtl_SwSPSA / 47.0.0</t>
  </si>
  <si>
    <t>RQONE04633073</t>
  </si>
  <si>
    <t>FC-ARA : VehDev_SwSPSA / 47.0.0</t>
  </si>
  <si>
    <t>RQONE04633219</t>
  </si>
  <si>
    <t>FC-ARA : VehC_SwSPSA / 47.0.0</t>
  </si>
  <si>
    <t>RQONE04633236</t>
  </si>
  <si>
    <t>FC-ARA : UEGO_SwSPSA / 47.0.0</t>
  </si>
  <si>
    <t>RQONE04633264</t>
  </si>
  <si>
    <t>FC-ARA : TME_SwSPSA / 47.0.0</t>
  </si>
  <si>
    <t>RQONE04633778</t>
  </si>
  <si>
    <t>FC-ARA : ChrCtl_SwSPSA / 47.0.0</t>
  </si>
  <si>
    <t>RQONE04633943</t>
  </si>
  <si>
    <t>FC-ARA : CoEng_SwSPSA / 47.0.0</t>
  </si>
  <si>
    <t>RQONE04634814</t>
  </si>
  <si>
    <t>FC-ARA : ComVeh_SwSPSA / 47.0.0</t>
  </si>
  <si>
    <t>RQONE04634850</t>
  </si>
  <si>
    <t>FC-ARA : DrAs_SwSPSA / 47.0.0</t>
  </si>
  <si>
    <t>RQONE04634875</t>
  </si>
  <si>
    <t>FC-ARA : DSMBas_SwSPSA / 47.0.0</t>
  </si>
  <si>
    <t>RQONE04634883</t>
  </si>
  <si>
    <t>FC-ARA : ElDev_SwSPSA / 47.0.0</t>
  </si>
  <si>
    <t>RQONE04635619</t>
  </si>
  <si>
    <t>FC-ARA : ElSS_SwSPSA / 47.0.0</t>
  </si>
  <si>
    <t>RQONE04635701</t>
  </si>
  <si>
    <t>FC-ARA : EngM_SwSPSA / 47.0.0</t>
  </si>
  <si>
    <t>RQONE04635794</t>
  </si>
  <si>
    <t>FC-ARA : EngStrt_SwSPSA / 47.0.0</t>
  </si>
  <si>
    <t>RQONE04635904</t>
  </si>
  <si>
    <t>FC-ARA : EngTmr_SwSPSA / 47.0.0</t>
  </si>
  <si>
    <t>RQONE04636135</t>
  </si>
  <si>
    <t>FC-ARA : ExhDvP_SwSPSA / 47.0.0</t>
  </si>
  <si>
    <t>RQONE04636188</t>
  </si>
  <si>
    <t>FC-ARA : ThS_SwSPSA / 47.0.0</t>
  </si>
  <si>
    <t>RQONE04636224</t>
  </si>
  <si>
    <t>FC-ARA : ThDev_SwSPSA / 47.0.0</t>
  </si>
  <si>
    <t>RQONE04636346</t>
  </si>
  <si>
    <t>FC-ARA : ExhDvT_SwSPSA / 47.0.0</t>
  </si>
  <si>
    <t>RQONE04636366</t>
  </si>
  <si>
    <t>FC-ARA : Tdev_SwSPSA / 47.0.0</t>
  </si>
  <si>
    <t>RQONE04636370</t>
  </si>
  <si>
    <t>FC-ARA : TCE_SwSPSA / 47.0.0</t>
  </si>
  <si>
    <t>RQONE04636383</t>
  </si>
  <si>
    <t>FC-ARA : SysC_SwSPSA / 47.0.0</t>
  </si>
  <si>
    <t>RQONE04636398</t>
  </si>
  <si>
    <t>FC-ARA : SpdCtl_SwSPSA / 47.0.0</t>
  </si>
  <si>
    <t>RQONE04636415</t>
  </si>
  <si>
    <t>FC-ARA : SCRCtl_SwSPSA / 47.0.0</t>
  </si>
  <si>
    <t>RQONE04636423</t>
  </si>
  <si>
    <t>FC-ARA : PwrTrn_SwSPSA / 47.0.0</t>
  </si>
  <si>
    <t>RQONE04636727</t>
  </si>
  <si>
    <t>FC-ARA : ExhMod_SwSPSA / 47.0.0</t>
  </si>
  <si>
    <t>RQONE04636728</t>
  </si>
  <si>
    <t>FC-ARA : FlDev_SwSPSA / 47.0.0</t>
  </si>
  <si>
    <t>RQONE04636729</t>
  </si>
  <si>
    <t>FC-ARA : FlSply_SwSPSA / 47.0.0</t>
  </si>
  <si>
    <t>RQONE04636790</t>
  </si>
  <si>
    <t>FC-ARA : PtDev_SwSPSA / 47.0.0</t>
  </si>
  <si>
    <t>RQONE04636792</t>
  </si>
  <si>
    <t>FC-ARA : PFlt_SwSPSA / 47.0.0</t>
  </si>
  <si>
    <t>RQONE04636793</t>
  </si>
  <si>
    <t>FC-ARA : Oil_SwSPSA / 47.0.0</t>
  </si>
  <si>
    <t>RQONE04636809</t>
  </si>
  <si>
    <t>FC-ARA : Mo_SwSPSA / 47.0.0</t>
  </si>
  <si>
    <t>RQONE04636811</t>
  </si>
  <si>
    <t>FC-ARA : LamAd_SwSPSA / 47.0.0</t>
  </si>
  <si>
    <t>RQONE04636812</t>
  </si>
  <si>
    <t>FC-ARA : InjSys_SwSPSA / 47.0.0</t>
  </si>
  <si>
    <t>RQONE04636821</t>
  </si>
  <si>
    <t>FC-ARA : InjHyd_SwSPSA / 47.0.0</t>
  </si>
  <si>
    <t>RQONE04636823</t>
  </si>
  <si>
    <t>FC-ARA : GlwSys_SwSPSA / 47.0.0</t>
  </si>
  <si>
    <t>RQONE04646065</t>
  </si>
  <si>
    <t>FC-ARA : VehM_CSwSPSA / 47.0.0</t>
  </si>
  <si>
    <t>RQONE04646092</t>
  </si>
  <si>
    <t>FC-ARA : VehDev_CSwSPSA / 47.0.0</t>
  </si>
  <si>
    <t>RQONE04646565</t>
  </si>
  <si>
    <t>FC-ARA : VehC_CSwSPSA / 47.0.0</t>
  </si>
  <si>
    <t>RQONE04646592</t>
  </si>
  <si>
    <t>FC-ARA : ThS_CSwSPSA / 47.0.0</t>
  </si>
  <si>
    <t>RQONE04646620</t>
  </si>
  <si>
    <t>FC-ARA : Tdev_CSwSPSA / 47.0.0</t>
  </si>
  <si>
    <t>RQONE04646651</t>
  </si>
  <si>
    <t>FC-ARA : TCE_CSwSPSA / 47.0.0</t>
  </si>
  <si>
    <t>RQONE04646685</t>
  </si>
  <si>
    <t>FC-ARA : SysC_CSwSPSA / 47.0.0</t>
  </si>
  <si>
    <t>RQONE04646731</t>
  </si>
  <si>
    <t>FC-ARA : SpdCtl_CSwSPSA / 47.0.0</t>
  </si>
  <si>
    <t>RQONE04646763</t>
  </si>
  <si>
    <t>FC-ARA : SCRCtl_CSwSPSA / 47.0.0</t>
  </si>
  <si>
    <t>RQONE04646883</t>
  </si>
  <si>
    <t>FC-ARA : PwrTrn_CSwSPSA / 47.0.0</t>
  </si>
  <si>
    <t>RQONE04646919</t>
  </si>
  <si>
    <t>FC-ARA : DiaBas_SwSPSA / 47.0.0</t>
  </si>
  <si>
    <t>RQONE04646923</t>
  </si>
  <si>
    <t>FC-ARA : PtDev_CSwSPSA / 47.0.0</t>
  </si>
  <si>
    <t>RQONE04646952</t>
  </si>
  <si>
    <t>FC-ARA : Oil_CSwSPSA / 47.0.0</t>
  </si>
  <si>
    <t>RQONE04646957</t>
  </si>
  <si>
    <t>FC-ARA : ComDia_SwSPSA / 47.0.0</t>
  </si>
  <si>
    <t>RQONE04646995</t>
  </si>
  <si>
    <t>FC-ARA : Mo_CSwSPSA / 47.0.0</t>
  </si>
  <si>
    <t>RQONE04647961</t>
  </si>
  <si>
    <t>FC-ARA : AirMod_CSwSPSA / 47.0.0</t>
  </si>
  <si>
    <t>RQONE04648032</t>
  </si>
  <si>
    <t>FC-ARA : API_DELib_CSwSPSA / 47.0.0</t>
  </si>
  <si>
    <t>RQONE04648073</t>
  </si>
  <si>
    <t>FC-ARA : ChrCtl_CSwSPSA / 47.0.0</t>
  </si>
  <si>
    <t>RQONE04648076</t>
  </si>
  <si>
    <t>FC-ARA : Epm_SwSPSA / 47.0.0</t>
  </si>
  <si>
    <t>RQONE04649401</t>
  </si>
  <si>
    <t>BC : Oil / 36.11.0_Suc</t>
  </si>
  <si>
    <t>RQONE04649419</t>
  </si>
  <si>
    <t>FC : OilPCtl_Gov / 19.3.0_Suc</t>
  </si>
  <si>
    <t>RQONE04670900</t>
  </si>
  <si>
    <t>BC : ComVeh / 780.13.0_1.5.0</t>
  </si>
  <si>
    <t>RQONE04689049</t>
  </si>
  <si>
    <t>FC : EMDmp_DD / 1.16.0</t>
  </si>
  <si>
    <t>RQONE04689053</t>
  </si>
  <si>
    <t>BC : EngM / 10.90.0</t>
  </si>
  <si>
    <t>RQONE04689062</t>
  </si>
  <si>
    <t>FC : EMCtl_ValCalc / 1.30.0</t>
  </si>
  <si>
    <t>RQONE04714845</t>
  </si>
  <si>
    <t>FC-ARA : ComDia_SwSPSA / 46.1.0</t>
  </si>
  <si>
    <t>RQONE04726157</t>
  </si>
  <si>
    <t>FC-ARA : SIA_SwSPSA / 47.0.0</t>
  </si>
  <si>
    <t>Dao Phi Duong (MS/EEU14-PS) (DAP9HC)</t>
  </si>
  <si>
    <t>RQONE04732719</t>
  </si>
  <si>
    <t>FC-ARA : PSA2PSA_SwSPSA / 47.0.0</t>
  </si>
  <si>
    <t>RQONE04738782</t>
  </si>
  <si>
    <t>FC-ARA : Glb_CSwSDiagScanToolTreatPSA / 47.0.0</t>
  </si>
  <si>
    <t>RQONE04741115</t>
  </si>
  <si>
    <t>FC-ARB : rba_ComScl / 39.0.1_709.1.0</t>
  </si>
  <si>
    <t>Dang Dinh Gia Bao (MS/EEU12-PS) (DBA2HC)</t>
  </si>
  <si>
    <t>RQONE04741133</t>
  </si>
  <si>
    <t>FC : ComScl_MonPduErr / 1.59.0_1.1.0</t>
  </si>
  <si>
    <t>RQONE04754792</t>
  </si>
  <si>
    <t>BC : SwSAPSA / 50.15.0</t>
  </si>
  <si>
    <t xml:space="preserve">11. BC-R planned date is within next 14 days
</t>
  </si>
  <si>
    <t>RQONE04757130</t>
  </si>
  <si>
    <t>BC : SwSAPSA / 47.1.0</t>
  </si>
  <si>
    <t>RQONE04758899</t>
  </si>
  <si>
    <t>FC : BAPAppl_EngFunc / 45.8.0</t>
  </si>
  <si>
    <t>RQONE04769577</t>
  </si>
  <si>
    <t>BC : SwSAPSA / 51.1.0</t>
  </si>
  <si>
    <t>RQONE04769634</t>
  </si>
  <si>
    <t>FC-ARA : PwrTrn_SwSPSA / 51.1.0</t>
  </si>
  <si>
    <t>RQONE04772033</t>
  </si>
  <si>
    <t>FC-ARA : DSMBas_SwSPSA / 51.1.0</t>
  </si>
  <si>
    <t>Bui Sy Quan (MS/EEU14-PS) (BUS3HC)</t>
  </si>
  <si>
    <t>RQONE04772271</t>
  </si>
  <si>
    <t>FC-ARA : ElDev_SwSPSA / 51.1.0</t>
  </si>
  <si>
    <t>RQONE04773829</t>
  </si>
  <si>
    <t>FC-ARA : EngM_SwSPSA / 51.1.0</t>
  </si>
  <si>
    <t>RQONE04774044</t>
  </si>
  <si>
    <t>FC-ARA : FlMA_SwSPSA / 51.1.0</t>
  </si>
  <si>
    <t>RQONE04774170</t>
  </si>
  <si>
    <t>FC-ARA : FlSplG_SwSPSA / 51.1.0</t>
  </si>
  <si>
    <t>RQONE04774230</t>
  </si>
  <si>
    <t>FC-ARA : InjSyG_SwSPSA / 51.1.0</t>
  </si>
  <si>
    <t>RQONE04774254</t>
  </si>
  <si>
    <t>FC-ARA : LamCL_SwSPSA / 51.1.0</t>
  </si>
  <si>
    <t>RQONE04774269</t>
  </si>
  <si>
    <t>FC-ARA : Mo_SwSPSA / 51.1.0</t>
  </si>
  <si>
    <t>RQONE04774285</t>
  </si>
  <si>
    <t>FC-ARA : Oil_SwSPSA / 51.1.0</t>
  </si>
  <si>
    <t>RQONE04774327</t>
  </si>
  <si>
    <t>FC-ARA : PSA2PSA_SwSPSA / 51.1.0</t>
  </si>
  <si>
    <t>RQONE04774414</t>
  </si>
  <si>
    <t>FC-ARA : AirDvP_SwSPSA / 51.1.0</t>
  </si>
  <si>
    <t>RQONE04774431</t>
  </si>
  <si>
    <t>FC-ARA : ChrSet_SwSPSA / 51.1.0</t>
  </si>
  <si>
    <t>RQONE04774440</t>
  </si>
  <si>
    <t>FC-ARA : ComDia_SwSPSA / 51.1.0</t>
  </si>
  <si>
    <t>RQONE04774458</t>
  </si>
  <si>
    <t>FC-ARA : SpdCtl_SwSPSA / 51.1.0</t>
  </si>
  <si>
    <t>RQONE04774468</t>
  </si>
  <si>
    <t>FC-ARA : SysVar_SwSPSA / 51.1.0</t>
  </si>
  <si>
    <t>RQONE04774477</t>
  </si>
  <si>
    <t>FC-ARA : TCE_SwSPSA / 51.1.0</t>
  </si>
  <si>
    <t>RQONE04774493</t>
  </si>
  <si>
    <t>FC-ARA : ThS_SwSPSA / 51.1.0</t>
  </si>
  <si>
    <t>RQONE04774553</t>
  </si>
  <si>
    <t>FC-ARA : VehC_SwSPSA / 51.1.0</t>
  </si>
  <si>
    <t>RQONE04774564</t>
  </si>
  <si>
    <t>FC-ARA : VehDev_SwSPSA / 51.1.0</t>
  </si>
  <si>
    <t>RQONE04778611</t>
  </si>
  <si>
    <t>BC : ComVeh / 504.39.0</t>
  </si>
  <si>
    <t>RQONE04779344</t>
  </si>
  <si>
    <t>FC-ARA : ComVeh_SwSPSA / 51.1.0</t>
  </si>
  <si>
    <t>RQONE04779522</t>
  </si>
  <si>
    <t>FC-ARA : Oil_CSwSPSA / 51.1.0</t>
  </si>
  <si>
    <t>RQONE04780733</t>
  </si>
  <si>
    <t>FC-ARA : TabVerb_SwSAPSA / 51.1.0</t>
  </si>
  <si>
    <t>RQONE04783238</t>
  </si>
  <si>
    <t>FC-ARA : FPCtl_SwSPSA / 51.1.0</t>
  </si>
  <si>
    <t>Tran Ngoc Cat (MS/EEU12-PS) (TCR4HC)</t>
  </si>
  <si>
    <t>Nguyen Le Thanh Loc (MS/EPC42-PS)</t>
  </si>
  <si>
    <t>Khuat Duy Nguyen (MS/EPC42-PS) (KHN4HC)</t>
  </si>
  <si>
    <t>RQONE04793634</t>
  </si>
  <si>
    <t>BC : Oil / 14.77.0</t>
  </si>
  <si>
    <t>RQONE04793637</t>
  </si>
  <si>
    <t>FC : OilPMon_Func / 3.12.0</t>
  </si>
  <si>
    <t>Dao Phi Duong (MS/EPC42-PS) (DAP9HC)</t>
  </si>
  <si>
    <t>RQONE04794782</t>
  </si>
  <si>
    <t>BC : ComVeh / 709.29.0_V12.10.21.03.0.0</t>
  </si>
  <si>
    <t>RQONE04795453</t>
  </si>
  <si>
    <t>FC-ARA : ComVeh_SwSPSA / 47.1.0</t>
  </si>
  <si>
    <t>Nguyen Huu Dat (MS/EPC42-PS) (DUY3HC)</t>
  </si>
  <si>
    <t>RQONE03936287</t>
  </si>
  <si>
    <t>Errata analysis - 00090467</t>
  </si>
  <si>
    <t>Phan Manh Cuong (MS/EEU13-PS) (PCH5HC)</t>
  </si>
  <si>
    <t>RQONE03936310</t>
  </si>
  <si>
    <t>Errata analysis of Defect 00091806</t>
  </si>
  <si>
    <t>RQONE03936324</t>
  </si>
  <si>
    <t>Errata analysis - 00089657</t>
  </si>
  <si>
    <t>RQONE04008316</t>
  </si>
  <si>
    <t>Implementation - ##K-Matrix Umsetzung  V12.08.03 für das VKM SG in der E³ Plattform#44-2023#2732807#2732807 - CAN Hw Objects reduction(709.*) part 2</t>
  </si>
  <si>
    <t>RQONE04008344</t>
  </si>
  <si>
    <t>Test Execution - ##K-Matrix Umsetzung  V12.08.03 für das VKM SG in der E³ Plattform#44-2023#2732807#2732807 - CAN Hw Objects reduction(709.*)</t>
  </si>
  <si>
    <t>RQONE04023743</t>
  </si>
  <si>
    <t>Review - ##K-Matrix Umsetzung  V12.08.03 für das VKM SG in der E³ Plattform#44-2023#2732807#2732807 - CAN Hw Objects reduction</t>
  </si>
  <si>
    <t>RQONE04023745</t>
  </si>
  <si>
    <t>Review meeting- ##K-Matrix Umsetzung  V12.08.03 für das VKM SG in der E³ Plattform#44-2023#2732807#2732807 - CAN Hw Objects reduction</t>
  </si>
  <si>
    <t>BM-00087229_005</t>
  </si>
  <si>
    <t>RQONE04191383</t>
  </si>
  <si>
    <t>Review of Implementation 1 - [EA825evo MP EU7 Porsche] MLBevo CAN Hw Objects reduction</t>
  </si>
  <si>
    <t>RQONE04246533</t>
  </si>
  <si>
    <t>Evaluation - [EA825evo MP EU7 Porsche] MLBevo CAN Hw Objects reduction</t>
  </si>
  <si>
    <t>RQONE04246538</t>
  </si>
  <si>
    <t>Implementation - [EA825evo MP EU7 Porsche] MLBevo CAN Hw Objects reduction</t>
  </si>
  <si>
    <t>RQONE04246558</t>
  </si>
  <si>
    <t>Review of Implementation 2 - [EA825evo MP EU7 Porsche] MLBevo CAN Hw Objects reduction</t>
  </si>
  <si>
    <t>RQONE04424067</t>
  </si>
  <si>
    <t>Test Execution - ##[CHO-33040147] MQBevo / Verbundrelease V14.10.02#48-2024#2860199#2860199 - CAN Hw Objects reduction</t>
  </si>
  <si>
    <t>Vo Van Chinh (MS/EEU13-PS) (VOC7HC)</t>
  </si>
  <si>
    <t>RQONE04424073</t>
  </si>
  <si>
    <t>Change Request Evaluation FD - ##[CHO-33040147] MQBevo / Verbundrelease V14.10.02#48-2024#2860199#2860199 - CAN Hw Objects reduction</t>
  </si>
  <si>
    <t>RQONE04424077</t>
  </si>
  <si>
    <t>Implementation - ##[CHO-33040147] MQBevo / Verbundrelease V14.10.02#48-2024#2860199#2860199 - CAN Hw Objects reduction</t>
  </si>
  <si>
    <t>RQONE04424093</t>
  </si>
  <si>
    <t>Review of Implementation - ##[CHO-33040147] MQBevo / Verbundrelease V14.10.02#48-2024#2860199#2860199 - CAN Hw Objects reduction</t>
  </si>
  <si>
    <t>RQONE04425581</t>
  </si>
  <si>
    <t>Test Execution- Bugfix - Propulsion system active signal muted contrary to requirement when executing 28 01 01 - Part ComVeh -  MQBw Mainline</t>
  </si>
  <si>
    <t>RQONE04443209</t>
  </si>
  <si>
    <t>Implementation - EA839evo Audi V6T BT-LAH_V1.0: LAH.4N0.907.BR Buseigendiagnose (V1.2) - xSets für Signalfehler(709.34.0)</t>
  </si>
  <si>
    <t>Kumar Deepak (MS/EFV21-PS) (DEEB1KOR)</t>
  </si>
  <si>
    <t>BM-00047392_009
[2022-01-20;han82wi] BMok</t>
  </si>
  <si>
    <t>RQONE04443218</t>
  </si>
  <si>
    <t>Test Execution -- EA839evo Audi V6T BT-LAH_V1.0: LAH.4N0.907.BR Buseigendiagnose (V1.2) - xSets für Signalfehler(709.34.0)</t>
  </si>
  <si>
    <t>RQONE04443219</t>
  </si>
  <si>
    <t>Test Execution -- EA839evo Audi V6T BT-LAH_V1.0: LAH.4N0.907.BR Buseigendiagnose (V1.2) - xSets für Signalfehler(609.*.*)</t>
  </si>
  <si>
    <t>RQONE04443266</t>
  </si>
  <si>
    <t>Test Execution -- EA839evo Audi V6T BT-LAH_V1.0: LAH.4N0.907.BR Buseigendiagnose (V1.2) - xSets für Signalfehler(504.*.*)</t>
  </si>
  <si>
    <t>RQONE04443268</t>
  </si>
  <si>
    <t>Test Execution - EA839evo Audi V6T BT-LAH_V1.0: LAH.4N0.907.BR Buseigendiagnose (V1.2) - xSets für Signalfehler(780.*.*)</t>
  </si>
  <si>
    <t>RQONE04443277</t>
  </si>
  <si>
    <t>Review of Implementation 1 - EA839evo Audi V6T BT-LAH_V1.0: LAH.4N0.907.BR Buseigendiagnose (V1.2) - xSets für Signalfehler(504.*.*))</t>
  </si>
  <si>
    <t>RQONE04443298</t>
  </si>
  <si>
    <t>ECU Test Execution - EA839evo Audi V6T BT-LAH_V1.0: LAH.4N0.907.BR Buseigendiagnose (V1.2) - xSets für Signalfehler(780.*.*)</t>
  </si>
  <si>
    <t>RQONE04443302</t>
  </si>
  <si>
    <t>ECU Test Execution -- EA839evo Audi V6T BT-LAH_V1.0: LAH.4N0.907.BR Buseigendiagnose (V1.2) - xSets für Signalfehler(504.*.*)</t>
  </si>
  <si>
    <t>RQONE04443303</t>
  </si>
  <si>
    <t>ECU Test Execution -- EA839evo Audi V6T BT-LAH_V1.0: LAH.4N0.907.BR Buseigendiagnose (V1.2) - xSets für Signalfehler(709.*.*)</t>
  </si>
  <si>
    <t>RQONE04443307</t>
  </si>
  <si>
    <t>ECU Test Execution -- EA839evo Audi V6T BT-LAH_V1.0: LAH.4N0.907.BR Buseigendiagnose (V1.2) - xSets für Signalfehler(609.*.*)</t>
  </si>
  <si>
    <t>RQONE04443314</t>
  </si>
  <si>
    <t>Implementation - EA839evo Audi V6T BT-LAH_V1.0: LAH.4N0.907.BR Buseigendiagnose (V1.2) - xSets für Signalfehler(609.*.*)</t>
  </si>
  <si>
    <t>RQONE04443316</t>
  </si>
  <si>
    <t>Implementation - EA839evo Audi V6T BT-LAH_V1.0: LAH.4N0.907.BR Buseigendiagnose (V1.2) - xSets für Signalfehler(780.*.*)</t>
  </si>
  <si>
    <t>RQONE04443318</t>
  </si>
  <si>
    <t>Implementation - EA839evo Audi V6T BT-LAH_V1.0: LAH.4N0.907.BR Buseigendiagnose (V1.2) - xSets für Signalfehler(504.*.*)</t>
  </si>
  <si>
    <t>RQONE04443332</t>
  </si>
  <si>
    <t>Review of Implementation 1 - EA839evo Audi V6T BT-LAH_V1.0: LAH.4N0.907.BR Buseigendiagnose (V1.2) - xSets für Signalfehler(709.*.*)</t>
  </si>
  <si>
    <t>RQONE04443334</t>
  </si>
  <si>
    <t>Review of Implementation 2 - EA839evo Audi V6T BT-LAH_V1.0: LAH.4N0.907.BR Buseigendiagnose (V1.2) - xSets für Signalfehler(709.*.*)</t>
  </si>
  <si>
    <t>RQONE04443350</t>
  </si>
  <si>
    <t>Review of Implementation 1 - EA839evo Audi V6T BT-LAH_V1.0: LAH.4N0.907.BR Buseigendiagnose (V1.2) - xSets für Signalfehler(609.*.*)</t>
  </si>
  <si>
    <t>RQONE04443355</t>
  </si>
  <si>
    <t>Review of Implementation 2 - EA839evo Audi V6T BT-LAH_V1.0: LAH.4N0.907.BR Buseigendiagnose (V1.2) - xSets für Signalfehler(609.*.*)</t>
  </si>
  <si>
    <t>RQONE04443358</t>
  </si>
  <si>
    <t>Review of Implementation 1 - EA839evo Audi V6T BT-LAH_V1.0: LAH.4N0.907.BR Buseigendiagnose (V1.2) - xSets für Signalfehler(780.*.*)</t>
  </si>
  <si>
    <t>RQONE04443361</t>
  </si>
  <si>
    <t>Review of Implementation 2 - EA839evo Audi V6T BT-LAH_V1.0: LAH.4N0.907.BR Buseigendiagnose (V1.2) - xSets für Signalfehler(780.*.*)</t>
  </si>
  <si>
    <t>RQONE04443366</t>
  </si>
  <si>
    <t>Review of Implementation 2 - EA839evo Audi V6T BT-LAH_V1.0: LAH.4N0.907.BR Buseigendiagnose (V1.2) - xSets für Signalfehler(504.*.*)</t>
  </si>
  <si>
    <t>RQONE04443371</t>
  </si>
  <si>
    <t>Evaluation - EA839evo Audi V6T BT-LAH_V1.0: LAH.4N0.907.BR Buseigendiagnose (V1.2) - xSets für Signalfehler(709.*.*)</t>
  </si>
  <si>
    <t>RQONE04443394</t>
  </si>
  <si>
    <t>first analysis - - EA839evo Audi V6T BT-LAH_V1.0: LAH.4N0.907.BR Buseigendiagnose (V1.2) - xSets für Signalfehler</t>
  </si>
  <si>
    <t>RQONE04443460</t>
  </si>
  <si>
    <t>Ecu Test Automation script - EA839evo Audi V6T BT-LAH_V1.0: LAH.4N0.907.BR Buseigendiagnose (V1.2) - xSets für Signalfehler</t>
  </si>
  <si>
    <t>RQONE04443466</t>
  </si>
  <si>
    <t>Additional review - EA839evo Audi V6T BT-LAH_V1.0: LAH.4N0.907.BR Buseigendiagnose (V1.2) - xSets für Signalfehler(709.*.*)</t>
  </si>
  <si>
    <t>RQONE04443467</t>
  </si>
  <si>
    <t>Additional review -- EA839evo Audi V6T BT-LAH_V1.0: LAH.4N0.907.BR Buseigendiagnose (V1.2) - xSets für Signalfehler(609.*.*)</t>
  </si>
  <si>
    <t>RQONE04443469</t>
  </si>
  <si>
    <t>Additional review -- EA839evo Audi V6T BT-LAH_V1.0: LAH.4N0.907.BR Buseigendiagnose (V1.2) - xSets für Signalfehler(780.*.* &amp; 504.*.*)</t>
  </si>
  <si>
    <t>RQONE04461448</t>
  </si>
  <si>
    <t>Effort estimaition - EA839evo Audi V6T BT-LAH_V1.0: LAH.4N0.907.BR Buseigendiagnose (V1.2) - xSets für Signalfehler</t>
  </si>
  <si>
    <t>Phan Manh Cuong (MS/EPC42-PS)</t>
  </si>
  <si>
    <t>BM-00047392_009
BM-00090880_002
[2022-01-20;han82wi] BMok</t>
  </si>
  <si>
    <t>RQONE04551304</t>
  </si>
  <si>
    <t>Test Execution</t>
  </si>
  <si>
    <t>Chau Tri Cuong (MS/EEU12-PS) (CHC4HC)</t>
  </si>
  <si>
    <t>RQONE04551307</t>
  </si>
  <si>
    <t>Test-, Function Spec &amp; Documentation</t>
  </si>
  <si>
    <t>RQONE04672408</t>
  </si>
  <si>
    <t>[eVCU Br2 Eu7] BSW2409 Migration - SwSAPSA migration -- [RbD_FD][9_TestExec] -- Test Execution (FCF,URT,SFT)</t>
  </si>
  <si>
    <t>RQONE04672409</t>
  </si>
  <si>
    <t>[eVCU Br2 Eu7] BSW2409 Migration - SwSAPSA migration -- [RbD_FD][8_ImplRvw] -- Implementation Review</t>
  </si>
  <si>
    <t>RQONE04672411</t>
  </si>
  <si>
    <t>[eVCU Br2 Eu7] BSW2409 Migration - SwSAPSA migration -- [RbD_FD][7_Cdng] -- Coding</t>
  </si>
  <si>
    <t>RQONE04685293</t>
  </si>
  <si>
    <t>Implementation - BugFix : Mo_FahrZeugTyp Sideline 780</t>
  </si>
  <si>
    <t>RQONE04685295</t>
  </si>
  <si>
    <t>Test Execution - BugFix : Mo_FahrZeugTyp Sideline 780</t>
  </si>
  <si>
    <t>RQONE04685297</t>
  </si>
  <si>
    <t>Review of Testing - BugFix : Mo_FahrZeugTyp Sideline 780</t>
  </si>
  <si>
    <t>[SWSAPSA][DF1] -- DF1 preparation</t>
  </si>
  <si>
    <t>RQONE04724592</t>
  </si>
  <si>
    <t>Test Execution - EA288evo2mod: Robustheitsmaßnahme für COMScl 5ms - MQBCubas - BC: ComVeh 504.x.x</t>
  </si>
  <si>
    <t>RQONE04724593</t>
  </si>
  <si>
    <t>Implementation - EA288evo2mod: Robustheitsmaßnahme für COMScl 5ms - MQBCubas - BC: ComVeh 504.x.x</t>
  </si>
  <si>
    <t>RQONE04724594</t>
  </si>
  <si>
    <t>Review of Implementation - EA288evo2mod: Robustheitsmaßnahme für COMScl 5ms - MQBCubas - BC: ComVeh 504.x.x</t>
  </si>
  <si>
    <t>RQONE04724595</t>
  </si>
  <si>
    <t>[RbD 2.x only] Identify &amp; Analyse Software Requirements - EA288evo2mod: Robustheitsmaßnahme für COMScl 5ms - MQBCubas - BC: ComVeh 504.x.x</t>
  </si>
  <si>
    <t>BM-00107480</t>
  </si>
  <si>
    <t>RQONE04730794</t>
  </si>
  <si>
    <t>Test Execution - ##[CH-43668112] SWSVW_Adp_DMG1311VH1P2444_12.1.0_Teil3#25-2025#2904688#2904688 Anteil BX: SWSComVeh_VW</t>
  </si>
  <si>
    <t>RQONE04730795</t>
  </si>
  <si>
    <t>Change Request Evaluation FD - ##[CH-43668112] SWSVW_Adp_DMG1311VH1P2444_12.1.0_Teil3#25-2025#2904688#2904688 Anteil BX: SWSComVeh_VW</t>
  </si>
  <si>
    <t>RQONE04730796</t>
  </si>
  <si>
    <t>Implementation - ##[CH-43668112] SWSVW_Adp_DMG1311VH1P2444_12.1.0_Teil3#25-2025#2904688#2904688 Anteil BX: SWSComVeh_VW</t>
  </si>
  <si>
    <t>RQONE04730797</t>
  </si>
  <si>
    <t>Review of Implementation - ##[CH-43668112] SWSVW_Adp_DMG1311VH1P2444_12.1.0_Teil3#25-2025#2904688#2904688 Anteil BX: SWSComVeh_VW</t>
  </si>
  <si>
    <t>RQONE04743346</t>
  </si>
  <si>
    <t>Update ECU SIL test for latest ComLib - PortTxConvRaw</t>
  </si>
  <si>
    <t>RQONE04755743</t>
  </si>
  <si>
    <t>Testcase update for regression test (SigTxConst and SigTxConstNoPort) - BugFix : Mo_FahrZeugTyp</t>
  </si>
  <si>
    <t>RQONE04773633</t>
  </si>
  <si>
    <t>Update ECU SIL test - PduRxDiagCodSwi</t>
  </si>
  <si>
    <t>Le The Anh (MS/EEU12-PS) (HEA1HC)</t>
  </si>
  <si>
    <t>RQONE04773634</t>
  </si>
  <si>
    <t>Update ECU SIL test - PduRxDiagFadeoutUbatt</t>
  </si>
  <si>
    <t>RQONE04773635</t>
  </si>
  <si>
    <t>Update ECU SIL test - PduRxDiagDLC</t>
  </si>
  <si>
    <t>RQONE04773636</t>
  </si>
  <si>
    <t>Update ECU SIL test - PortRxConvRaw</t>
  </si>
  <si>
    <t>RQONE04773637</t>
  </si>
  <si>
    <t>Update ECU SIL test - PortRxConvPhy</t>
  </si>
  <si>
    <t>RQONE04773638</t>
  </si>
  <si>
    <t>Update ECU SIL test - PduRxXset</t>
  </si>
  <si>
    <t>RQONE04773639</t>
  </si>
  <si>
    <t>Update ECU SIL test - PduRxReceiveState</t>
  </si>
  <si>
    <t>RQONE04773640</t>
  </si>
  <si>
    <t>Update ECU SIL test - PduRxDiagTout</t>
  </si>
  <si>
    <t>RQONE04778134</t>
  </si>
  <si>
    <t>[COM][0_Coord] - P-Res Coord - [MG1CS052]_EU7_01552_22_02754_v12_3_CARASI_eCAT_MHEV_PHEV_EURO_7_P2_VC2_1</t>
  </si>
  <si>
    <t>RQONE04778136</t>
  </si>
  <si>
    <t>[MG1CS052]_EU7_01552_22_02754_v12_3_CARASI_eCAT_MHEV_PHEV_EURO_7_P2_VC2_1 -- [RbD_FD][10_PltCal] -- Pilot Calibration</t>
  </si>
  <si>
    <t>RQONE04778140</t>
  </si>
  <si>
    <t>[MG1CS052]_EU7_01552_22_02754_v12_3_CARASI_eCAT_MHEV_PHEV_EURO_7_P2_VC2_1 -- [RbD_FD][1_ReqEng] -- Requirements Engineering</t>
  </si>
  <si>
    <t>RQONE04778172</t>
  </si>
  <si>
    <t>[MG1CS052]_EU7_01552_22_02754_v12_1_CARASI_eCAT_MHEV_PHEV_EURO_7_P2_VC2_1 -- [COM][1_An&amp;EE] -- Analysis &amp; Effort Estimationn</t>
  </si>
  <si>
    <t>RQONE04778177</t>
  </si>
  <si>
    <t>[MG1CS052]_EU7_01552_22_02754_v12_1_CARASI_eCAT_MHEV_PHEV_EURO_7_P2_VC2_1 -- [RbD_FD][1_ReqEng] -- Requirements Engineering</t>
  </si>
  <si>
    <t>RQONE04778187</t>
  </si>
  <si>
    <t>[MG1CS052]_EU7_01552_22_02754_v12_1_CARASI_eCAT_MHEV_PHEV_EURO_7_P2_VC2_1 -- [RbD_FD][2_ReqRvw] -- Review of Requirements Documentation</t>
  </si>
  <si>
    <t>RQONE04778192</t>
  </si>
  <si>
    <t>[MG1CS052]_EU7_01552_22_02754_v12_1_CARASI_eCAT_MHEV_PHEV_EURO_7_P2_VC2_1 -- [RBD_FD][3_Concept&amp;ArchDev] -- Concept and Architecture Development</t>
  </si>
  <si>
    <t>RQONE04778200</t>
  </si>
  <si>
    <t>[MG1CS052]_EU7_01552_22_02754_v12_1_CARASI_eCAT_MHEV_PHEV_EURO_7_P2_VC2_1 -- [RbD_FD][4_Mdlng] -- Modelling</t>
  </si>
  <si>
    <t>RQONE04785109</t>
  </si>
  <si>
    <t>Test Execution - ##[CH-43668112] SWSVW_Adp_DMG1311VH1P2444_12.1.0_Teil3#25-2025#2904688#2904688 Anteil ComVeh - BAP Changes</t>
  </si>
  <si>
    <t>RQONE04785110</t>
  </si>
  <si>
    <t>Change Request Evaluation FD - ##[CH-43668112] SWSVW_Adp_DMG1311VH1P2444_12.1.0_Teil3#25-2025#2904688#2904688 Anteil ComVeh - BAP Changes</t>
  </si>
  <si>
    <t>RQONE04785111</t>
  </si>
  <si>
    <t>Implementation - ##[CH-43668112] SWSVW_Adp_DMG1311VH1P2444_12.1.0_Teil3#25-2025#2904688#2904688 Anteil ComVeh - BAP Changes</t>
  </si>
  <si>
    <t>Nguyen Le Thanh Loc (MS/EPC42-PS) (GLN3HC)</t>
  </si>
  <si>
    <t>Truong Van Ngoc Em (MS/EPC42-PS) (TRE5HC)</t>
  </si>
  <si>
    <t>RQONE04805994</t>
  </si>
  <si>
    <r>
      <t>RQONE03792807</t>
    </r>
    <r>
      <rPr>
        <sz val="10"/>
        <rFont val="Arial"/>
      </rPr>
      <t xml:space="preserve">
Dang Sy Binh (MS/EPC42-PS)</t>
    </r>
  </si>
  <si>
    <r>
      <t>RQONE03817557</t>
    </r>
    <r>
      <rPr>
        <sz val="10"/>
        <rFont val="Arial"/>
      </rPr>
      <t xml:space="preserve">
Nguyen Don Anh Minh (MS/EPC42-PS)</t>
    </r>
  </si>
  <si>
    <r>
      <t>RQONE04146778</t>
    </r>
    <r>
      <rPr>
        <sz val="10"/>
        <rFont val="Arial"/>
      </rPr>
      <t xml:space="preserve">
Huynh Quoc Hoang (MS/EPC42-PS)</t>
    </r>
  </si>
  <si>
    <r>
      <t>RQONE04194993</t>
    </r>
    <r>
      <rPr>
        <sz val="10"/>
        <rFont val="Arial"/>
      </rPr>
      <t xml:space="preserve">
Nguyen Dang Ngung (MS/EPC42-PS)</t>
    </r>
  </si>
  <si>
    <r>
      <t>RQONE04287855</t>
    </r>
    <r>
      <rPr>
        <sz val="10"/>
        <rFont val="Arial"/>
      </rPr>
      <t xml:space="preserve">
Truong Van Ngoc Em (MS/EPC42-PS)</t>
    </r>
  </si>
  <si>
    <r>
      <t>RQONE04294988</t>
    </r>
    <r>
      <rPr>
        <sz val="10"/>
        <rFont val="Arial"/>
      </rPr>
      <t xml:space="preserve">
Nguyen Dang Ngung (MS/EPC42-PS)</t>
    </r>
  </si>
  <si>
    <r>
      <t>RQONE04300798</t>
    </r>
    <r>
      <rPr>
        <sz val="10"/>
        <rFont val="Arial"/>
      </rPr>
      <t xml:space="preserve">
Nguyen Anh Khoa (MS/EPC42-PS)</t>
    </r>
  </si>
  <si>
    <r>
      <t>RQONE04330446</t>
    </r>
    <r>
      <rPr>
        <sz val="10"/>
        <rFont val="Arial"/>
      </rPr>
      <t xml:space="preserve">
Dang Sy Binh (MS/EPC42-PS)</t>
    </r>
  </si>
  <si>
    <r>
      <t>RQONE04470558</t>
    </r>
    <r>
      <rPr>
        <sz val="10"/>
        <rFont val="Arial"/>
      </rPr>
      <t xml:space="preserve">
Nguyen Dang Ngung (MS/EPC42-PS)</t>
    </r>
  </si>
  <si>
    <r>
      <t>RQONE04505928</t>
    </r>
    <r>
      <rPr>
        <sz val="10"/>
        <rFont val="Arial"/>
      </rPr>
      <t xml:space="preserve">
Chau Tri Cuong (MS/EPC42-PS)</t>
    </r>
  </si>
  <si>
    <r>
      <t>RQONE04542079</t>
    </r>
    <r>
      <rPr>
        <sz val="10"/>
        <rFont val="Arial"/>
      </rPr>
      <t xml:space="preserve">
Nguyen Dang Ngung (MS/EPC42-PS)</t>
    </r>
  </si>
  <si>
    <r>
      <t>RQONE04556892</t>
    </r>
    <r>
      <rPr>
        <sz val="10"/>
        <rFont val="Arial"/>
      </rPr>
      <t xml:space="preserve">
Nguyen Huu Dat (MS/EPC42-PS)</t>
    </r>
  </si>
  <si>
    <r>
      <t>RQONE04571685</t>
    </r>
    <r>
      <rPr>
        <sz val="10"/>
        <rFont val="Arial"/>
      </rPr>
      <t xml:space="preserve">
Nguyen Dang Ngung (MS/EPC42-PS)</t>
    </r>
  </si>
  <si>
    <r>
      <t>RQONE04592282</t>
    </r>
    <r>
      <rPr>
        <sz val="10"/>
        <rFont val="Arial"/>
      </rPr>
      <t xml:space="preserve">
Nguyen Huu Dat (MS/EPC42-PS)</t>
    </r>
  </si>
  <si>
    <r>
      <t>RQONE04592285</t>
    </r>
    <r>
      <rPr>
        <sz val="10"/>
        <rFont val="Arial"/>
      </rPr>
      <t xml:space="preserve">
Le Do Nguyen Chuong (MS/EPC42-PS)</t>
    </r>
  </si>
  <si>
    <r>
      <t>RQONE04599834</t>
    </r>
    <r>
      <rPr>
        <sz val="10"/>
        <rFont val="Arial"/>
      </rPr>
      <t xml:space="preserve">
Nguyen Dang Ngung (MS/EPC42-PS)</t>
    </r>
  </si>
  <si>
    <r>
      <t>RQONE04603512</t>
    </r>
    <r>
      <rPr>
        <sz val="10"/>
        <rFont val="Arial"/>
      </rPr>
      <t xml:space="preserve">
Nguyen Dang Ngung (MS/EPC42-PS)</t>
    </r>
  </si>
  <si>
    <r>
      <t>RQONE04611857</t>
    </r>
    <r>
      <rPr>
        <sz val="10"/>
        <rFont val="Arial"/>
      </rPr>
      <t xml:space="preserve">
Nguyen Dang Ngung (MS/EPC42-PS)</t>
    </r>
  </si>
  <si>
    <r>
      <t>RQONE04614283</t>
    </r>
    <r>
      <rPr>
        <sz val="10"/>
        <rFont val="Arial"/>
      </rPr>
      <t xml:space="preserve">
Le Do Nguyen Chuong (MS/EPC42-PS)</t>
    </r>
  </si>
  <si>
    <r>
      <t>RQONE04638004</t>
    </r>
    <r>
      <rPr>
        <sz val="10"/>
        <rFont val="Arial"/>
      </rPr>
      <t xml:space="preserve">
Khuat Duy Nguyen (MS/EPC42-PS)</t>
    </r>
  </si>
  <si>
    <r>
      <t>RQONE04638620</t>
    </r>
    <r>
      <rPr>
        <sz val="10"/>
        <rFont val="Arial"/>
      </rPr>
      <t xml:space="preserve">
Pham Nguyen Ngoc Toan (MS/EPC42-PS)</t>
    </r>
  </si>
  <si>
    <r>
      <t>RQONE04660700</t>
    </r>
    <r>
      <rPr>
        <sz val="10"/>
        <rFont val="Arial"/>
      </rPr>
      <t xml:space="preserve">
Dang Sy Binh (MS/EPC42-PS)</t>
    </r>
  </si>
  <si>
    <r>
      <t>RQONE04668102</t>
    </r>
    <r>
      <rPr>
        <sz val="10"/>
        <rFont val="Arial"/>
      </rPr>
      <t xml:space="preserve">
Le Do Nguyen Chuong (MS/EPC42-PS)</t>
    </r>
  </si>
  <si>
    <r>
      <t>RQONE04668104</t>
    </r>
    <r>
      <rPr>
        <sz val="10"/>
        <rFont val="Arial"/>
      </rPr>
      <t xml:space="preserve">
Dao Phi Duong (MS/EPC42-PS)</t>
    </r>
  </si>
  <si>
    <r>
      <t>RQONE04670881</t>
    </r>
    <r>
      <rPr>
        <sz val="10"/>
        <rFont val="Arial"/>
      </rPr>
      <t xml:space="preserve">
Vo Van Chinh (MS/EPC42-PS)</t>
    </r>
  </si>
  <si>
    <r>
      <t>RQONE04676800</t>
    </r>
    <r>
      <rPr>
        <sz val="10"/>
        <rFont val="Arial"/>
      </rPr>
      <t xml:space="preserve">
Dang Sy Binh (MS/EPC42-PS)</t>
    </r>
  </si>
  <si>
    <r>
      <t>RQONE04676802</t>
    </r>
    <r>
      <rPr>
        <sz val="10"/>
        <rFont val="Arial"/>
      </rPr>
      <t xml:space="preserve">
Truong Van Ngoc Em (MS/EPC42-PS)</t>
    </r>
  </si>
  <si>
    <r>
      <t>RQONE04676963</t>
    </r>
    <r>
      <rPr>
        <sz val="10"/>
        <rFont val="Arial"/>
      </rPr>
      <t xml:space="preserve">
Le Do Nguyen Chuong (MS/EPC42-PS)</t>
    </r>
  </si>
  <si>
    <r>
      <t>RQONE04683389</t>
    </r>
    <r>
      <rPr>
        <sz val="10"/>
        <rFont val="Arial"/>
      </rPr>
      <t xml:space="preserve">
Chau Tri Cuong (MS/EPC42-PS)</t>
    </r>
  </si>
  <si>
    <r>
      <t>RQONE04700280</t>
    </r>
    <r>
      <rPr>
        <sz val="10"/>
        <rFont val="Arial"/>
      </rPr>
      <t xml:space="preserve">
Truong Van Ngoc Em (MS/EPC42-PS)</t>
    </r>
  </si>
  <si>
    <r>
      <t>RQONE04713818</t>
    </r>
    <r>
      <rPr>
        <sz val="10"/>
        <rFont val="Arial"/>
      </rPr>
      <t xml:space="preserve">
Nguyen Dang Ngung (MS/EPC42-PS)</t>
    </r>
  </si>
  <si>
    <r>
      <t>RQONE04716978</t>
    </r>
    <r>
      <rPr>
        <sz val="10"/>
        <rFont val="Arial"/>
      </rPr>
      <t xml:space="preserve">
Le Do Nguyen Chuong (MS/EPC42-PS)</t>
    </r>
  </si>
  <si>
    <r>
      <t>RQONE04720753</t>
    </r>
    <r>
      <rPr>
        <sz val="10"/>
        <rFont val="Arial"/>
      </rPr>
      <t xml:space="preserve">
Pham Nguyen Ngoc Toan (MS/EPC42-PS)</t>
    </r>
  </si>
  <si>
    <r>
      <t>RQONE04726465</t>
    </r>
    <r>
      <rPr>
        <sz val="10"/>
        <rFont val="Arial"/>
      </rPr>
      <t xml:space="preserve">
Vo Van Chinh (MS/EPC42-PS)</t>
    </r>
  </si>
  <si>
    <r>
      <t>RQONE04737270</t>
    </r>
    <r>
      <rPr>
        <sz val="10"/>
        <rFont val="Arial"/>
      </rPr>
      <t xml:space="preserve">
Pham Nguyen Ngoc Toan (MS/EPC42-PS)</t>
    </r>
  </si>
  <si>
    <r>
      <t>RQONE04738002</t>
    </r>
    <r>
      <rPr>
        <sz val="10"/>
        <rFont val="Arial"/>
      </rPr>
      <t xml:space="preserve">
Pham Nguyen Ngoc Toan (MS/EPC42-PS)</t>
    </r>
  </si>
  <si>
    <r>
      <t>RQONE04738777</t>
    </r>
    <r>
      <rPr>
        <sz val="10"/>
        <rFont val="Arial"/>
      </rPr>
      <t xml:space="preserve">
Pham Nguyen Ngoc Toan (MS/EPC42-PS)</t>
    </r>
  </si>
  <si>
    <r>
      <t>RQONE04743295</t>
    </r>
    <r>
      <rPr>
        <sz val="10"/>
        <rFont val="Arial"/>
      </rPr>
      <t xml:space="preserve">
Huynh Quoc Hoang (MS/EPC42-PS)</t>
    </r>
  </si>
  <si>
    <r>
      <t>RQONE04766348</t>
    </r>
    <r>
      <rPr>
        <sz val="10"/>
        <rFont val="Arial"/>
      </rPr>
      <t xml:space="preserve">
Nguyen Dang Ngung (MS/EPC42-PS)</t>
    </r>
  </si>
  <si>
    <r>
      <t>RQONE04768226</t>
    </r>
    <r>
      <rPr>
        <sz val="10"/>
        <rFont val="Arial"/>
      </rPr>
      <t xml:space="preserve">
Pham Nguyen Ngoc Toan (MS/EPC42-PS)</t>
    </r>
  </si>
  <si>
    <r>
      <t>RQONE04769686</t>
    </r>
    <r>
      <rPr>
        <sz val="10"/>
        <rFont val="Arial"/>
      </rPr>
      <t xml:space="preserve">
Pham Nguyen Ngoc Toan (MS/EPC42-PS)</t>
    </r>
  </si>
  <si>
    <r>
      <t>RQONE04771699</t>
    </r>
    <r>
      <rPr>
        <sz val="10"/>
        <rFont val="Arial"/>
      </rPr>
      <t xml:space="preserve">
Pham Nguyen Ngoc Toan (MS/EPC42-PS)</t>
    </r>
  </si>
  <si>
    <r>
      <t>RQONE04775210</t>
    </r>
    <r>
      <rPr>
        <sz val="10"/>
        <rFont val="Arial"/>
      </rPr>
      <t xml:space="preserve">
Pham Nguyen Ngoc Toan (MS/EPC42-PS)</t>
    </r>
  </si>
  <si>
    <r>
      <t>RQONE04776017</t>
    </r>
    <r>
      <rPr>
        <sz val="10"/>
        <rFont val="Arial"/>
      </rPr>
      <t xml:space="preserve">
Le Do Nguyen Chuong (MS/EPC42-PS)</t>
    </r>
  </si>
  <si>
    <r>
      <t>RQONE04776835</t>
    </r>
    <r>
      <rPr>
        <sz val="10"/>
        <rFont val="Arial"/>
      </rPr>
      <t xml:space="preserve">
Le Do Nguyen Chuong (MS/EPC42-PS)</t>
    </r>
  </si>
  <si>
    <r>
      <t>RQONE04778277</t>
    </r>
    <r>
      <rPr>
        <sz val="10"/>
        <rFont val="Arial"/>
      </rPr>
      <t xml:space="preserve">
Pham Nguyen Ngoc Toan (MS/EPC42-PS)</t>
    </r>
  </si>
  <si>
    <r>
      <t>RQONE04784772</t>
    </r>
    <r>
      <rPr>
        <sz val="10"/>
        <rFont val="Arial"/>
      </rPr>
      <t xml:space="preserve">
Vo Van Chinh (MS/EPC42-PS)</t>
    </r>
  </si>
  <si>
    <r>
      <t>RQONE04790413</t>
    </r>
    <r>
      <rPr>
        <sz val="10"/>
        <rFont val="Arial"/>
      </rPr>
      <t xml:space="preserve">
Pham Nguyen Ngoc Toan (MS/EPC42-PS)</t>
    </r>
  </si>
  <si>
    <r>
      <t>RQONE04790613</t>
    </r>
    <r>
      <rPr>
        <sz val="10"/>
        <rFont val="Arial"/>
      </rPr>
      <t xml:space="preserve">
Pham Nguyen Ngoc Toan (MS/EPC42-PS)</t>
    </r>
  </si>
  <si>
    <r>
      <t>RQONE04794562</t>
    </r>
    <r>
      <rPr>
        <sz val="10"/>
        <rFont val="Arial"/>
      </rPr>
      <t xml:space="preserve">
Pham Nguyen Ngoc Toan (MS/EPC42-PS)</t>
    </r>
  </si>
  <si>
    <r>
      <t>RQONE04795814</t>
    </r>
    <r>
      <rPr>
        <sz val="10"/>
        <rFont val="Arial"/>
      </rPr>
      <t xml:space="preserve">
Pham Nguyen Ngoc Toan (MS/EPC42-PS)</t>
    </r>
  </si>
  <si>
    <r>
      <t>RQONE04805990</t>
    </r>
    <r>
      <rPr>
        <sz val="10"/>
        <rFont val="Arial"/>
      </rPr>
      <t xml:space="preserve">
Nguyen Huu Dat (MS/EPC42-PS)</t>
    </r>
  </si>
  <si>
    <r>
      <t>RQONE04806300</t>
    </r>
    <r>
      <rPr>
        <sz val="10"/>
        <rFont val="Arial"/>
      </rPr>
      <t xml:space="preserve">
Le Do Nguyen Chuong (MS/EPC42-PS)</t>
    </r>
  </si>
  <si>
    <r>
      <t>RQONE03452005</t>
    </r>
    <r>
      <rPr>
        <sz val="10"/>
        <rFont val="Arial"/>
      </rPr>
      <t xml:space="preserve">
Nguyen Anh Khoa (MS/EPC42-PS)
6/30/2023</t>
    </r>
  </si>
  <si>
    <r>
      <t>RQONE03759936</t>
    </r>
    <r>
      <rPr>
        <sz val="10"/>
        <rFont val="Arial"/>
      </rPr>
      <t xml:space="preserve">
Le Do Nguyen Chuong (MS/EPC42-PS)
1/31/2025</t>
    </r>
  </si>
  <si>
    <r>
      <t>RQONE03759968</t>
    </r>
    <r>
      <rPr>
        <sz val="10"/>
        <rFont val="Arial"/>
      </rPr>
      <t xml:space="preserve">
Le Do Nguyen Chuong (MS/EPC42-PS)
7/31/2024</t>
    </r>
  </si>
  <si>
    <r>
      <t>RQONE03759990</t>
    </r>
    <r>
      <rPr>
        <sz val="10"/>
        <rFont val="Arial"/>
      </rPr>
      <t xml:space="preserve">
Le Do Nguyen Chuong (MS/EPC42-PS)
1/3/2025</t>
    </r>
  </si>
  <si>
    <r>
      <t>RQONE03760007</t>
    </r>
    <r>
      <rPr>
        <sz val="10"/>
        <rFont val="Arial"/>
      </rPr>
      <t xml:space="preserve">
Le Do Nguyen Chuong (MS/EPC42-PS)
10/31/2024</t>
    </r>
  </si>
  <si>
    <r>
      <t>RQONE03760027</t>
    </r>
    <r>
      <rPr>
        <sz val="10"/>
        <rFont val="Arial"/>
      </rPr>
      <t xml:space="preserve">
Le Do Nguyen Chuong (MS/EPC42-PS)
7/31/2024</t>
    </r>
  </si>
  <si>
    <r>
      <t>RQONE03760104</t>
    </r>
    <r>
      <rPr>
        <sz val="10"/>
        <rFont val="Arial"/>
      </rPr>
      <t xml:space="preserve">
Le Do Nguyen Chuong (MS/EPC42-PS)
8/3/2024</t>
    </r>
  </si>
  <si>
    <r>
      <t>RQONE03760140</t>
    </r>
    <r>
      <rPr>
        <sz val="10"/>
        <rFont val="Arial"/>
      </rPr>
      <t xml:space="preserve">
Le Do Nguyen Chuong (MS/EPC42-PS)
10/31/2024</t>
    </r>
  </si>
  <si>
    <r>
      <t>RQONE03760168</t>
    </r>
    <r>
      <rPr>
        <sz val="10"/>
        <rFont val="Arial"/>
      </rPr>
      <t xml:space="preserve">
Le Do Nguyen Chuong (MS/EPC42-PS)
8/3/2024</t>
    </r>
  </si>
  <si>
    <r>
      <t>RQONE04154500</t>
    </r>
    <r>
      <rPr>
        <sz val="10"/>
        <rFont val="Arial"/>
      </rPr>
      <t xml:space="preserve">
Truong Van Ngoc Em (MS/EPC42-PS)
12/31/2025</t>
    </r>
  </si>
  <si>
    <r>
      <t>RQONE04507855</t>
    </r>
    <r>
      <rPr>
        <sz val="10"/>
        <rFont val="Arial"/>
      </rPr>
      <t xml:space="preserve">
Chau Tri Cuong (MS/EPC42-PS)
5/23/2025</t>
    </r>
  </si>
  <si>
    <r>
      <t>RQONE04507860</t>
    </r>
    <r>
      <rPr>
        <sz val="10"/>
        <rFont val="Arial"/>
      </rPr>
      <t xml:space="preserve">
Chau Tri Cuong (MS/EPC42-PS)
5/23/2025</t>
    </r>
  </si>
  <si>
    <r>
      <t>RQONE04521244</t>
    </r>
    <r>
      <rPr>
        <sz val="10"/>
        <rFont val="Arial"/>
      </rPr>
      <t xml:space="preserve">
Dang Sy Binh (MS/EPC42-PS)
4/18/2025</t>
    </r>
  </si>
  <si>
    <r>
      <t>RQONE04555082</t>
    </r>
    <r>
      <rPr>
        <sz val="10"/>
        <rFont val="Arial"/>
      </rPr>
      <t xml:space="preserve">
Nguyen Anh Khoa (MS/EPC42-PS)
5/9/2025</t>
    </r>
  </si>
  <si>
    <r>
      <t>RQONE04649401</t>
    </r>
    <r>
      <rPr>
        <sz val="10"/>
        <rFont val="Arial"/>
      </rPr>
      <t xml:space="preserve">
Khuat Duy Nguyen (MS/EPC42-PS)
9/5/2025</t>
    </r>
  </si>
  <si>
    <r>
      <t>RQONE04649419</t>
    </r>
    <r>
      <rPr>
        <sz val="10"/>
        <rFont val="Arial"/>
      </rPr>
      <t xml:space="preserve">
Khuat Duy Nguyen (MS/EPC42-PS)
9/5/2025</t>
    </r>
  </si>
  <si>
    <r>
      <t>RQONE04670900</t>
    </r>
    <r>
      <rPr>
        <sz val="10"/>
        <rFont val="Arial"/>
      </rPr>
      <t xml:space="preserve">
Truong Van Ngoc Em (MS/EPC42-PS)
</t>
    </r>
  </si>
  <si>
    <r>
      <t>RQONE04689049</t>
    </r>
    <r>
      <rPr>
        <sz val="10"/>
        <rFont val="Arial"/>
      </rPr>
      <t xml:space="preserve">
Chau Tri Cuong (MS/EPC42-PS)
11/21/2025</t>
    </r>
  </si>
  <si>
    <r>
      <t>RQONE04689053</t>
    </r>
    <r>
      <rPr>
        <sz val="10"/>
        <rFont val="Arial"/>
      </rPr>
      <t xml:space="preserve">
Chau Tri Cuong (MS/EPC42-PS)
11/21/2025</t>
    </r>
  </si>
  <si>
    <r>
      <t>RQONE04689062</t>
    </r>
    <r>
      <rPr>
        <sz val="10"/>
        <rFont val="Arial"/>
      </rPr>
      <t xml:space="preserve">
Chau Tri Cuong (MS/EPC42-PS)
11/21/2025</t>
    </r>
  </si>
  <si>
    <r>
      <t>RQONE04714845</t>
    </r>
    <r>
      <rPr>
        <sz val="10"/>
        <rFont val="Arial"/>
      </rPr>
      <t xml:space="preserve">
Nguyen Huu Dat (MS/EPC42-PS)
11/7/2026</t>
    </r>
  </si>
  <si>
    <r>
      <t>RQONE04741115</t>
    </r>
    <r>
      <rPr>
        <sz val="10"/>
        <rFont val="Arial"/>
      </rPr>
      <t xml:space="preserve">
Dang Dinh Gia Bao (MS/EPC42-PS)
8/29/2025</t>
    </r>
  </si>
  <si>
    <r>
      <t>RQONE04741133</t>
    </r>
    <r>
      <rPr>
        <sz val="10"/>
        <rFont val="Arial"/>
      </rPr>
      <t xml:space="preserve">
Dang Dinh Gia Bao (MS/EPC42-PS)
8/29/2025</t>
    </r>
  </si>
  <si>
    <r>
      <t>RQONE04758899</t>
    </r>
    <r>
      <rPr>
        <sz val="10"/>
        <rFont val="Arial"/>
      </rPr>
      <t xml:space="preserve">
Vo Van Chinh (MS/EPC42-PS)
1/1/2030</t>
    </r>
  </si>
  <si>
    <r>
      <t>RQONE04794782</t>
    </r>
    <r>
      <rPr>
        <sz val="10"/>
        <rFont val="Arial"/>
      </rPr>
      <t xml:space="preserve">
Dang Sy Binh (MS/EPC42-PS)
1/30/2026</t>
    </r>
  </si>
  <si>
    <r>
      <t>RQONE03936287</t>
    </r>
    <r>
      <rPr>
        <sz val="10"/>
        <rFont val="Arial"/>
      </rPr>
      <t xml:space="preserve">
Huynh Trong Hieu (MS/EPC42-PS)
12/31/2025</t>
    </r>
  </si>
  <si>
    <r>
      <t>RQONE03936310</t>
    </r>
    <r>
      <rPr>
        <sz val="10"/>
        <rFont val="Arial"/>
      </rPr>
      <t xml:space="preserve">
Huynh Trong Hieu (MS/EPC42-PS)
</t>
    </r>
  </si>
  <si>
    <r>
      <t>RQONE03936324</t>
    </r>
    <r>
      <rPr>
        <sz val="10"/>
        <rFont val="Arial"/>
      </rPr>
      <t xml:space="preserve">
Huynh Trong Hieu (MS/EPC42-PS)
12/31/2025</t>
    </r>
  </si>
  <si>
    <r>
      <t>RQONE04008316</t>
    </r>
    <r>
      <rPr>
        <sz val="10"/>
        <rFont val="Arial"/>
      </rPr>
      <t xml:space="preserve">
Dang Sy Binh (MS/EPC42-PS)
7/30/2025</t>
    </r>
  </si>
  <si>
    <r>
      <t>RQONE04008344</t>
    </r>
    <r>
      <rPr>
        <sz val="10"/>
        <rFont val="Arial"/>
      </rPr>
      <t xml:space="preserve">
Dang Sy Binh (MS/EPC42-PS)
</t>
    </r>
  </si>
  <si>
    <r>
      <t>RQONE04023743</t>
    </r>
    <r>
      <rPr>
        <sz val="10"/>
        <rFont val="Arial"/>
      </rPr>
      <t xml:space="preserve">
Dang Sy Binh (MS/EPC42-PS)
9/21/2024</t>
    </r>
  </si>
  <si>
    <r>
      <t>RQONE04023745</t>
    </r>
    <r>
      <rPr>
        <sz val="10"/>
        <rFont val="Arial"/>
      </rPr>
      <t xml:space="preserve">
Dang Sy Binh (MS/EPC42-PS)
</t>
    </r>
  </si>
  <si>
    <r>
      <t>RQONE04191383</t>
    </r>
    <r>
      <rPr>
        <sz val="10"/>
        <rFont val="Arial"/>
      </rPr>
      <t xml:space="preserve">
Bui Huu Loc (MS/EPC42-PS)
</t>
    </r>
  </si>
  <si>
    <r>
      <t>RQONE04246533</t>
    </r>
    <r>
      <rPr>
        <sz val="10"/>
        <rFont val="Arial"/>
      </rPr>
      <t xml:space="preserve">
Bui Huu Loc (MS/EPC42-PS)
</t>
    </r>
  </si>
  <si>
    <r>
      <t>RQONE04246538</t>
    </r>
    <r>
      <rPr>
        <sz val="10"/>
        <rFont val="Arial"/>
      </rPr>
      <t xml:space="preserve">
Nguyen Vuu Huy Hoang (MS/EPC42-PS)
</t>
    </r>
  </si>
  <si>
    <r>
      <t>RQONE04246558</t>
    </r>
    <r>
      <rPr>
        <sz val="10"/>
        <rFont val="Arial"/>
      </rPr>
      <t xml:space="preserve">
Bui Huu Loc (MS/EPC42-PS)
</t>
    </r>
  </si>
  <si>
    <r>
      <t>RQONE04424067</t>
    </r>
    <r>
      <rPr>
        <sz val="10"/>
        <rFont val="Arial"/>
      </rPr>
      <t xml:space="preserve">
Vo Van Chinh (MS/EPC42-PS)
</t>
    </r>
  </si>
  <si>
    <r>
      <t>RQONE04424073</t>
    </r>
    <r>
      <rPr>
        <sz val="10"/>
        <rFont val="Arial"/>
      </rPr>
      <t xml:space="preserve">
Vo Van Chinh (MS/EPC42-PS)
</t>
    </r>
  </si>
  <si>
    <r>
      <t>RQONE04424077</t>
    </r>
    <r>
      <rPr>
        <sz val="10"/>
        <rFont val="Arial"/>
      </rPr>
      <t xml:space="preserve">
Vo Van Chinh (MS/EPC42-PS)
</t>
    </r>
  </si>
  <si>
    <r>
      <t>RQONE04424093</t>
    </r>
    <r>
      <rPr>
        <sz val="10"/>
        <rFont val="Arial"/>
      </rPr>
      <t xml:space="preserve">
Truong Van Ngoc Em (MS/EPC42-PS)
5/9/2025</t>
    </r>
  </si>
  <si>
    <r>
      <t>RQONE04425581</t>
    </r>
    <r>
      <rPr>
        <sz val="10"/>
        <rFont val="Arial"/>
      </rPr>
      <t xml:space="preserve">
Nguyen Anh Khoa (MS/EPC42-PS)
5/9/2025</t>
    </r>
  </si>
  <si>
    <r>
      <t>RQONE04443209</t>
    </r>
    <r>
      <rPr>
        <sz val="10"/>
        <rFont val="Arial"/>
      </rPr>
      <t xml:space="preserve">
Dang Sy Binh (MS/EPC42-PS)
</t>
    </r>
  </si>
  <si>
    <r>
      <t>RQONE04443219</t>
    </r>
    <r>
      <rPr>
        <sz val="10"/>
        <rFont val="Arial"/>
      </rPr>
      <t xml:space="preserve">
Bui Huu Loc (MS/EPC42-PS)
</t>
    </r>
  </si>
  <si>
    <r>
      <t>RQONE04443266</t>
    </r>
    <r>
      <rPr>
        <sz val="10"/>
        <rFont val="Arial"/>
      </rPr>
      <t xml:space="preserve">
Truong Van Ngoc Em (MS/EPC42-PS)
</t>
    </r>
  </si>
  <si>
    <r>
      <t>RQONE04443268</t>
    </r>
    <r>
      <rPr>
        <sz val="10"/>
        <rFont val="Arial"/>
      </rPr>
      <t xml:space="preserve">
Truong Van Ngoc Em (MS/EPC42-PS)
</t>
    </r>
  </si>
  <si>
    <r>
      <t>RQONE04443277</t>
    </r>
    <r>
      <rPr>
        <sz val="10"/>
        <rFont val="Arial"/>
      </rPr>
      <t xml:space="preserve">
Truong Van Ngoc Em (MS/EPC42-PS)
</t>
    </r>
  </si>
  <si>
    <r>
      <t>RQONE04443298</t>
    </r>
    <r>
      <rPr>
        <sz val="10"/>
        <rFont val="Arial"/>
      </rPr>
      <t xml:space="preserve">
Truong Van Ngoc Em (MS/EPC42-PS)
</t>
    </r>
  </si>
  <si>
    <r>
      <t>RQONE04443302</t>
    </r>
    <r>
      <rPr>
        <sz val="10"/>
        <rFont val="Arial"/>
      </rPr>
      <t xml:space="preserve">
Truong Van Ngoc Em (MS/EPC42-PS)
</t>
    </r>
  </si>
  <si>
    <r>
      <t>RQONE04443303</t>
    </r>
    <r>
      <rPr>
        <sz val="10"/>
        <rFont val="Arial"/>
      </rPr>
      <t xml:space="preserve">
Huynh Quoc Hoang (MS/EPC42-PS)
</t>
    </r>
  </si>
  <si>
    <r>
      <t>RQONE04443307</t>
    </r>
    <r>
      <rPr>
        <sz val="10"/>
        <rFont val="Arial"/>
      </rPr>
      <t xml:space="preserve">
Bui Huu Loc (MS/EPC42-PS)
</t>
    </r>
  </si>
  <si>
    <r>
      <t>RQONE04443314</t>
    </r>
    <r>
      <rPr>
        <sz val="10"/>
        <rFont val="Arial"/>
      </rPr>
      <t xml:space="preserve">
Bui Huu Loc (MS/EPC42-PS)
</t>
    </r>
  </si>
  <si>
    <r>
      <t>RQONE04443316</t>
    </r>
    <r>
      <rPr>
        <sz val="10"/>
        <rFont val="Arial"/>
      </rPr>
      <t xml:space="preserve">
Truong Van Ngoc Em (MS/EPC42-PS)
</t>
    </r>
  </si>
  <si>
    <r>
      <t>RQONE04443318</t>
    </r>
    <r>
      <rPr>
        <sz val="10"/>
        <rFont val="Arial"/>
      </rPr>
      <t xml:space="preserve">
Truong Van Ngoc Em (MS/EPC42-PS)
</t>
    </r>
  </si>
  <si>
    <r>
      <t>RQONE04443332</t>
    </r>
    <r>
      <rPr>
        <sz val="10"/>
        <rFont val="Arial"/>
      </rPr>
      <t xml:space="preserve">
Dang Sy Binh (MS/EPC42-PS)
</t>
    </r>
  </si>
  <si>
    <r>
      <t>RQONE04443334</t>
    </r>
    <r>
      <rPr>
        <sz val="10"/>
        <rFont val="Arial"/>
      </rPr>
      <t xml:space="preserve">
Dang Sy Binh (MS/EPC42-PS)
</t>
    </r>
  </si>
  <si>
    <r>
      <t>RQONE04443350</t>
    </r>
    <r>
      <rPr>
        <sz val="10"/>
        <rFont val="Arial"/>
      </rPr>
      <t xml:space="preserve">
Bui Huu Loc (MS/EPC42-PS)
</t>
    </r>
  </si>
  <si>
    <r>
      <t>RQONE04443355</t>
    </r>
    <r>
      <rPr>
        <sz val="10"/>
        <rFont val="Arial"/>
      </rPr>
      <t xml:space="preserve">
Bui Huu Loc (MS/EPC42-PS)
</t>
    </r>
  </si>
  <si>
    <r>
      <t>RQONE04443358</t>
    </r>
    <r>
      <rPr>
        <sz val="10"/>
        <rFont val="Arial"/>
      </rPr>
      <t xml:space="preserve">
Truong Van Ngoc Em (MS/EPC42-PS)
</t>
    </r>
  </si>
  <si>
    <r>
      <t>RQONE04443361</t>
    </r>
    <r>
      <rPr>
        <sz val="10"/>
        <rFont val="Arial"/>
      </rPr>
      <t xml:space="preserve">
Truong Van Ngoc Em (MS/EPC42-PS)
</t>
    </r>
  </si>
  <si>
    <r>
      <t>RQONE04443366</t>
    </r>
    <r>
      <rPr>
        <sz val="10"/>
        <rFont val="Arial"/>
      </rPr>
      <t xml:space="preserve">
Truong Van Ngoc Em (MS/EPC42-PS)
</t>
    </r>
  </si>
  <si>
    <r>
      <t>RQONE04443371</t>
    </r>
    <r>
      <rPr>
        <sz val="10"/>
        <rFont val="Arial"/>
      </rPr>
      <t xml:space="preserve">
Dang Sy Binh (MS/EPC42-PS)
</t>
    </r>
  </si>
  <si>
    <r>
      <t>RQONE04443394</t>
    </r>
    <r>
      <rPr>
        <sz val="10"/>
        <rFont val="Arial"/>
      </rPr>
      <t xml:space="preserve">
Dang Sy Binh (MS/EPC42-PS)
</t>
    </r>
  </si>
  <si>
    <r>
      <t>RQONE04443460</t>
    </r>
    <r>
      <rPr>
        <sz val="10"/>
        <rFont val="Arial"/>
      </rPr>
      <t xml:space="preserve">
Huynh Quoc Hoang (MS/EPC42-PS)
</t>
    </r>
  </si>
  <si>
    <r>
      <t>RQONE04443466</t>
    </r>
    <r>
      <rPr>
        <sz val="10"/>
        <rFont val="Arial"/>
      </rPr>
      <t xml:space="preserve">
Dang Sy Binh (MS/EPC42-PS)
</t>
    </r>
  </si>
  <si>
    <r>
      <t>RQONE04443467</t>
    </r>
    <r>
      <rPr>
        <sz val="10"/>
        <rFont val="Arial"/>
      </rPr>
      <t xml:space="preserve">
Bui Huu Loc (MS/EPC42-PS)
</t>
    </r>
  </si>
  <si>
    <r>
      <t>RQONE04443469</t>
    </r>
    <r>
      <rPr>
        <sz val="10"/>
        <rFont val="Arial"/>
      </rPr>
      <t xml:space="preserve">
Truong Van Ngoc Em (MS/EPC42-PS)
</t>
    </r>
  </si>
  <si>
    <r>
      <t>RQONE04461448</t>
    </r>
    <r>
      <rPr>
        <sz val="10"/>
        <rFont val="Arial"/>
      </rPr>
      <t xml:space="preserve">
Phan Manh Cuong (MS/EPC42-PS)
10/31/2025</t>
    </r>
  </si>
  <si>
    <r>
      <t>RQONE04551304</t>
    </r>
    <r>
      <rPr>
        <sz val="10"/>
        <rFont val="Arial"/>
      </rPr>
      <t xml:space="preserve">
Chau Tri Cuong (MS/EPC42-PS)
</t>
    </r>
  </si>
  <si>
    <r>
      <t>RQONE04551307</t>
    </r>
    <r>
      <rPr>
        <sz val="10"/>
        <rFont val="Arial"/>
      </rPr>
      <t xml:space="preserve">
Chau Tri Cuong (MS/EPC42-PS)
6/11/2025</t>
    </r>
  </si>
  <si>
    <r>
      <t>RQONE04685293</t>
    </r>
    <r>
      <rPr>
        <sz val="10"/>
        <rFont val="Arial"/>
      </rPr>
      <t xml:space="preserve">
Vo Van Chinh (MS/EPC42-PS)
</t>
    </r>
  </si>
  <si>
    <r>
      <t>RQONE04685295</t>
    </r>
    <r>
      <rPr>
        <sz val="10"/>
        <rFont val="Arial"/>
      </rPr>
      <t xml:space="preserve">
Vo Van Chinh (MS/EPC42-PS)
</t>
    </r>
  </si>
  <si>
    <r>
      <t>RQONE04685297</t>
    </r>
    <r>
      <rPr>
        <sz val="10"/>
        <rFont val="Arial"/>
      </rPr>
      <t xml:space="preserve">
Tran Ngoc Cat (MS/EPC42-PS)
</t>
    </r>
  </si>
  <si>
    <r>
      <t>RQONE04730794</t>
    </r>
    <r>
      <rPr>
        <sz val="10"/>
        <rFont val="Arial"/>
      </rPr>
      <t xml:space="preserve">
Vo Van Chinh (MS/EPC42-PS)
10/3/2025</t>
    </r>
  </si>
  <si>
    <r>
      <t>RQONE04730795</t>
    </r>
    <r>
      <rPr>
        <sz val="10"/>
        <rFont val="Arial"/>
      </rPr>
      <t xml:space="preserve">
Vo Van Chinh (MS/EPC42-PS)
10/3/2025</t>
    </r>
  </si>
  <si>
    <r>
      <t>RQONE04730796</t>
    </r>
    <r>
      <rPr>
        <sz val="10"/>
        <rFont val="Arial"/>
      </rPr>
      <t xml:space="preserve">
Vo Van Chinh (MS/EPC42-PS)
10/3/2025</t>
    </r>
  </si>
  <si>
    <r>
      <t>RQONE04730797</t>
    </r>
    <r>
      <rPr>
        <sz val="10"/>
        <rFont val="Arial"/>
      </rPr>
      <t xml:space="preserve">
Truong Van Ngoc Em (MS/EPC42-PS)
10/3/2025</t>
    </r>
  </si>
  <si>
    <r>
      <t>RQONE04743346</t>
    </r>
    <r>
      <rPr>
        <sz val="10"/>
        <rFont val="Arial"/>
      </rPr>
      <t xml:space="preserve">
Huynh Quoc Hoang (MS/EPC42-PS)
</t>
    </r>
  </si>
  <si>
    <r>
      <t>RQONE04773633</t>
    </r>
    <r>
      <rPr>
        <sz val="10"/>
        <rFont val="Arial"/>
      </rPr>
      <t xml:space="preserve">
Huynh Quoc Hoang (MS/EPC42-PS)
</t>
    </r>
  </si>
  <si>
    <r>
      <t>RQONE04773634</t>
    </r>
    <r>
      <rPr>
        <sz val="10"/>
        <rFont val="Arial"/>
      </rPr>
      <t xml:space="preserve">
Huynh Quoc Hoang (MS/EPC42-PS)
</t>
    </r>
  </si>
  <si>
    <r>
      <t>RQONE04773635</t>
    </r>
    <r>
      <rPr>
        <sz val="10"/>
        <rFont val="Arial"/>
      </rPr>
      <t xml:space="preserve">
Huynh Quoc Hoang (MS/EPC42-PS)
</t>
    </r>
  </si>
  <si>
    <r>
      <t>RQONE04773636</t>
    </r>
    <r>
      <rPr>
        <sz val="10"/>
        <rFont val="Arial"/>
      </rPr>
      <t xml:space="preserve">
Huynh Quoc Hoang (MS/EPC42-PS)
</t>
    </r>
  </si>
  <si>
    <r>
      <t>RQONE04773637</t>
    </r>
    <r>
      <rPr>
        <sz val="10"/>
        <rFont val="Arial"/>
      </rPr>
      <t xml:space="preserve">
Huynh Quoc Hoang (MS/EPC42-PS)
</t>
    </r>
  </si>
  <si>
    <r>
      <t>RQONE04773638</t>
    </r>
    <r>
      <rPr>
        <sz val="10"/>
        <rFont val="Arial"/>
      </rPr>
      <t xml:space="preserve">
Huynh Quoc Hoang (MS/EPC42-PS)
</t>
    </r>
  </si>
  <si>
    <r>
      <t>RQONE04773639</t>
    </r>
    <r>
      <rPr>
        <sz val="10"/>
        <rFont val="Arial"/>
      </rPr>
      <t xml:space="preserve">
Huynh Quoc Hoang (MS/EPC42-PS)
</t>
    </r>
  </si>
  <si>
    <r>
      <t>RQONE04773640</t>
    </r>
    <r>
      <rPr>
        <sz val="10"/>
        <rFont val="Arial"/>
      </rPr>
      <t xml:space="preserve">
Huynh Quoc Hoang (MS/EPC42-PS)
</t>
    </r>
  </si>
  <si>
    <r>
      <t>RQONE04785109</t>
    </r>
    <r>
      <rPr>
        <sz val="10"/>
        <rFont val="Arial"/>
      </rPr>
      <t xml:space="preserve">
Vo Van Chinh (MS/EPC42-PS)
11/7/2025</t>
    </r>
  </si>
  <si>
    <r>
      <t>RQONE04785110</t>
    </r>
    <r>
      <rPr>
        <sz val="10"/>
        <rFont val="Arial"/>
      </rPr>
      <t xml:space="preserve">
Vo Van Chinh (MS/EPC42-PS)
11/7/2025</t>
    </r>
  </si>
  <si>
    <r>
      <t>RQONE04785111</t>
    </r>
    <r>
      <rPr>
        <sz val="10"/>
        <rFont val="Arial"/>
      </rPr>
      <t xml:space="preserve">
Vo Van Chinh (MS/EPC42-PS)
11/7/2025</t>
    </r>
  </si>
  <si>
    <t>RQONE04806637</t>
  </si>
  <si>
    <r>
      <t>RQONE04806637</t>
    </r>
    <r>
      <rPr>
        <sz val="10"/>
        <rFont val="Arial"/>
      </rPr>
      <t xml:space="preserve">
Le Do Nguyen Chuong (MS/EPC42-PS)</t>
    </r>
  </si>
  <si>
    <t xml:space="preserve">9. BC-R is not in planned state 2 weeks before planned delivery date
11. BC-R planned date is within next 14 days
</t>
  </si>
  <si>
    <t>RQONE04807954</t>
  </si>
  <si>
    <t>BC : SwSAPSA / 42.49.0</t>
  </si>
  <si>
    <t>RQONE04809036</t>
  </si>
  <si>
    <t>BC : SwSAPSA / 90.0.0</t>
  </si>
  <si>
    <t>RQONE04809674</t>
  </si>
  <si>
    <t>FC-ARA : ElDev_CSwSPSA / 90.0.0</t>
  </si>
  <si>
    <t>Bui Sy Quan (MS/EPC42-PS) (BUS3HC)</t>
  </si>
  <si>
    <t>Francois Quentin (PS-SC/ECS4) (FRQ1SO)</t>
  </si>
  <si>
    <t>RQONE04807349</t>
  </si>
  <si>
    <t>[ECS3103] Content for Adapter BC revision 4</t>
  </si>
  <si>
    <t>RQONE04809257</t>
  </si>
  <si>
    <t>[CRM] Analyse and Clarify the Change Request - ReUse in MQBw_baseline: Implementation - EA839evo Audi V6T LK2 EU7: Entwicklung generischer Lösung für Anbindung Secundary OBD ECUs in der Berechnung der CALID Successor</t>
  </si>
  <si>
    <t>FnD: BM-00047392_009</t>
  </si>
  <si>
    <r>
      <t>RQONE04727695</t>
    </r>
    <r>
      <rPr>
        <sz val="10"/>
        <rFont val="Arial"/>
      </rPr>
      <t xml:space="preserve">
Pham Nguyen Ngoc Toan (MS/EPC42-PS)</t>
    </r>
  </si>
  <si>
    <r>
      <t>RQONE04809036</t>
    </r>
    <r>
      <rPr>
        <sz val="10"/>
        <rFont val="Arial"/>
      </rPr>
      <t xml:space="preserve">
Le Do Nguyen Chuong (MS/EPC42-PS)
11/30/2025</t>
    </r>
  </si>
  <si>
    <r>
      <t>RQONE04809674</t>
    </r>
    <r>
      <rPr>
        <sz val="10"/>
        <rFont val="Arial"/>
      </rPr>
      <t xml:space="preserve">
Bui Sy Quan (MS/EPC42-PS)
11/30/2025</t>
    </r>
  </si>
  <si>
    <r>
      <t>RQONE04809257</t>
    </r>
    <r>
      <rPr>
        <sz val="10"/>
        <rFont val="Arial"/>
      </rPr>
      <t xml:space="preserve">
Truong Van Ngoc Em (MS/EPC42-PS)
</t>
    </r>
  </si>
  <si>
    <t>DOOSAN Infracore</t>
  </si>
  <si>
    <t>RQONE04481065</t>
  </si>
  <si>
    <t>[HDI G2 MD1] DCR_P1789_020 - Oil Level Sensor update ( BC : Oil )</t>
  </si>
  <si>
    <t>Ho Duc Huy (MS/EPC32-PS) (duu81hc)</t>
  </si>
  <si>
    <t>BM-00102364_004 or Please contact Ms. Ngo Thi Minh Phuong (MS/EPC32-PS) for clarification</t>
  </si>
  <si>
    <t>RQONE04481124</t>
  </si>
  <si>
    <t>[HDI G2 MD1] DCR_P1789_041 - Calculate Engine Off Time by CAN Value (BC : EngTmr)</t>
  </si>
  <si>
    <t xml:space="preserve">2. Issue is not closed even though all BC releases all closed or canceled
</t>
  </si>
  <si>
    <t>Pham Minh Tri (MS/EPC42-PS)</t>
  </si>
  <si>
    <t>RQONE04657221</t>
  </si>
  <si>
    <t>##[CH-44184227] MQBevo / Verbundrelease V14.10.02F für EU6 in PV7 Fahrzeugen#27-2025#2907080#2907080</t>
  </si>
  <si>
    <t>RQONE04781644</t>
  </si>
  <si>
    <t>Beanstandung ComFehler wegen SOK - E3 -- ComVeh</t>
  </si>
  <si>
    <t>Zwiauer Sebastian (PS-SC/EFV1) (ZWS1WI)</t>
  </si>
  <si>
    <t>BM-00047392_008</t>
  </si>
  <si>
    <t>RQONE04791555</t>
  </si>
  <si>
    <t>ReUse in MQBw_baseline: Implementation - EA839evo Audi V6T LK2 EU7: Entwicklung generischer Lösung für Anbindung Secundary OBD ECUs in der Berechnung der CALID</t>
  </si>
  <si>
    <t>RQONE04791561</t>
  </si>
  <si>
    <t>ReUse in MQB: Implementation - EA839evo Audi V6T LK2 EU7: Entwicklung generischer Lösung für Anbindung Secundary OBD ECUs in der Berechnung der CALID</t>
  </si>
  <si>
    <t>RQONE04810403</t>
  </si>
  <si>
    <t>Clamping in the FC: ComCil_Adapt for PtCom_nClu_VW_PC</t>
  </si>
  <si>
    <t>RQONE04811494</t>
  </si>
  <si>
    <t>RQONE04811498</t>
  </si>
  <si>
    <t>Software migration from V2C12.1 to V2C14 included - SwSAPSA</t>
  </si>
  <si>
    <t>RQONE04811513</t>
  </si>
  <si>
    <t>RQONE04812313</t>
  </si>
  <si>
    <t>RQONE04812318</t>
  </si>
  <si>
    <t>Nguyen Dang Ngung (MS/EPC42-PS) (GYG6HC)</t>
  </si>
  <si>
    <t>RQONE04818288</t>
  </si>
  <si>
    <t>[ECS3103] 01552_25_02268_v2.0</t>
  </si>
  <si>
    <t>RQONE04819680</t>
  </si>
  <si>
    <t>RQONE04820961</t>
  </si>
  <si>
    <t>[MG1CS052]_EU7_ICE_01552_25_01924_v5.0</t>
  </si>
  <si>
    <t>RQONE04821903</t>
  </si>
  <si>
    <t>01552_22_04583_v29.0 - CARASI eVCU BEV2 Branch W2C11</t>
  </si>
  <si>
    <t>Gueguen Nicolas (PS-SC/ECS4) (uig2si)</t>
  </si>
  <si>
    <t>RQONE04822653</t>
  </si>
  <si>
    <t>Cubas Com-Stack VW: Unterstützung 1 auf 1-Routing- BSW 1909</t>
  </si>
  <si>
    <t>RQONE04823483</t>
  </si>
  <si>
    <t>[HDI G2 MD1] 212 Study SW removal (BC : EngTmr)</t>
  </si>
  <si>
    <t>Bach Thuy Tien (MS/EPC32-PS) (BIC1HC)</t>
  </si>
  <si>
    <t>RQONE04827602</t>
  </si>
  <si>
    <t>01552_22_04074_v27.0</t>
  </si>
  <si>
    <t>Ogier Marie (PS-SC/ECS5.2) (OGM1SO)</t>
  </si>
  <si>
    <t>RQONE04827693</t>
  </si>
  <si>
    <t>Software migration from W2C9.1 to W2C11 included - SwSAPSA</t>
  </si>
  <si>
    <t>RQONE04827754</t>
  </si>
  <si>
    <t>01552_22_04074_vTBD</t>
  </si>
  <si>
    <t>Chanteau Marie (PS-SC/ECS4) (mch1so)</t>
  </si>
  <si>
    <t>RQONE04827783</t>
  </si>
  <si>
    <t>RQONE04828841</t>
  </si>
  <si>
    <t>RQONE04829466</t>
  </si>
  <si>
    <t>RQONE04830821</t>
  </si>
  <si>
    <t>RQONE04651892</t>
  </si>
  <si>
    <t>BC : ComVeh / 609.46.0</t>
  </si>
  <si>
    <t>RQONE04799381</t>
  </si>
  <si>
    <t>BC : ComVeh / 504.33.0_2.2.0</t>
  </si>
  <si>
    <t>RQONE04805324</t>
  </si>
  <si>
    <t>RQONE04809715</t>
  </si>
  <si>
    <t>FC-ARA : PwrTrn_CSwSPSA / 90.0.0</t>
  </si>
  <si>
    <t>RQONE04810868</t>
  </si>
  <si>
    <t>FC-ARA : SysC_CSwSPSA / 90.0.0</t>
  </si>
  <si>
    <t>RQONE04811274</t>
  </si>
  <si>
    <t>FC-ARA : TCE_SwSPSA / 90.0.0</t>
  </si>
  <si>
    <t>RQONE04811292</t>
  </si>
  <si>
    <t>FC-ARA : Tdev_SwSPSA / 90.0.0</t>
  </si>
  <si>
    <t>RQONE04811348</t>
  </si>
  <si>
    <t>FC-ARA : ThDev_CSwSPSA / 90.0.0</t>
  </si>
  <si>
    <t>RQONE04811371</t>
  </si>
  <si>
    <t>FC-ARA : ThS_SwSPSA / 90.0.0</t>
  </si>
  <si>
    <t>RQONE04811410</t>
  </si>
  <si>
    <t>FC-ARA : TME_SwSPSA / 90.0.0</t>
  </si>
  <si>
    <t>RQONE04811480</t>
  </si>
  <si>
    <t>FC-ARA : VehC_SwSPSA / 90.0.0</t>
  </si>
  <si>
    <t>RQONE04811487</t>
  </si>
  <si>
    <t>FC-ARA : VehDev_SwSPSA / 90.0.0</t>
  </si>
  <si>
    <t>RQONE04811508</t>
  </si>
  <si>
    <t>BC : SwSAPSA / 82.0.0</t>
  </si>
  <si>
    <t>RQONE04811614</t>
  </si>
  <si>
    <t>BC : SwSAPSA / 71.0.0</t>
  </si>
  <si>
    <t>RQONE04814234</t>
  </si>
  <si>
    <t>FC-ARA : AirDvP_CSwSPSA / 90.0.0</t>
  </si>
  <si>
    <t>RQONE04814735</t>
  </si>
  <si>
    <t>FC-ARA : API_DELib_CSwSPSA / 90.0.0</t>
  </si>
  <si>
    <t>RQONE04814744</t>
  </si>
  <si>
    <t>FC-ARA : ComVeh_CSwSPSA / 90.0.0</t>
  </si>
  <si>
    <t>RQONE04814752</t>
  </si>
  <si>
    <t>FC-ARA : DSMBas_CSwSPSA / 90.0.0</t>
  </si>
  <si>
    <t>RQONE04814866</t>
  </si>
  <si>
    <t>FC-ARA : EngStrt_SwSPSA / 90.0.0</t>
  </si>
  <si>
    <t>RQONE04814898</t>
  </si>
  <si>
    <t>FC-ARA : Epm_SwSPSA / 90.0.0</t>
  </si>
  <si>
    <t>RQONE04814915</t>
  </si>
  <si>
    <t>FC-ARA : ExhMgT_SwSPSA / 90.0.0</t>
  </si>
  <si>
    <t>RQONE04814917</t>
  </si>
  <si>
    <t>FC-ARA : Mo_SwSPSA / 90.0.0</t>
  </si>
  <si>
    <t>RQONE04814933</t>
  </si>
  <si>
    <t>FC-ARA : PtDev_SwSPSA / 90.0.0</t>
  </si>
  <si>
    <t>RQONE04814956</t>
  </si>
  <si>
    <t>FC-ARA : PwrTrn_SwSPSA / 90.0.0</t>
  </si>
  <si>
    <t>RQONE04814966</t>
  </si>
  <si>
    <t>FC-ARA : SysC_SwSPSA / 90.0.0</t>
  </si>
  <si>
    <t>RQONE04815101</t>
  </si>
  <si>
    <t>FC-ARA : SysVar_SwSPSA / 90.0.0</t>
  </si>
  <si>
    <t>RQONE04815588</t>
  </si>
  <si>
    <t>BC : ComVeh / 709.40.0</t>
  </si>
  <si>
    <t>RQONE04816075</t>
  </si>
  <si>
    <t>FC-ARA : PwrTrn_CSwSPSA / 71.0.0</t>
  </si>
  <si>
    <t>RQONE04816101</t>
  </si>
  <si>
    <t>FC-ARA : SysC_CSwSPSA / 71.0.0</t>
  </si>
  <si>
    <t>RQONE04816110</t>
  </si>
  <si>
    <t>FC-ARA : SysC_SwSPSA / 71.0.0</t>
  </si>
  <si>
    <t>RQONE04816928</t>
  </si>
  <si>
    <t>FC-ARA : SysVar_SwSPSA / 71.0.0</t>
  </si>
  <si>
    <t>RQONE04817090</t>
  </si>
  <si>
    <t>FC-ARA : TCE_SwSPSA / 71.0.0</t>
  </si>
  <si>
    <t>RQONE04817100</t>
  </si>
  <si>
    <t>FC-ARA : Tdev_SwSPSA / 71.0.0</t>
  </si>
  <si>
    <t>RQONE04817171</t>
  </si>
  <si>
    <t>FC-ARA : ThDev_CSwSPSA / 71.0.0</t>
  </si>
  <si>
    <t>RQONE04817176</t>
  </si>
  <si>
    <t>FC-ARA : ThDev_SwSPSA / 71.0.0</t>
  </si>
  <si>
    <t>RQONE04817180</t>
  </si>
  <si>
    <t>FC-ARA : ThS_CSwSPSA / 71.0.0</t>
  </si>
  <si>
    <t>RQONE04817188</t>
  </si>
  <si>
    <t>FC-ARA : ThS_SwSPSA / 71.0.0</t>
  </si>
  <si>
    <t>RQONE04817194</t>
  </si>
  <si>
    <t>FC-ARA : TME_SwSPSA / 71.0.0</t>
  </si>
  <si>
    <t>RQONE04817199</t>
  </si>
  <si>
    <t>FC-ARA : VehC_CSwSPSA / 71.0.0</t>
  </si>
  <si>
    <t>RQONE04817206</t>
  </si>
  <si>
    <t>FC-ARA : VehDev_CSwSPSA / 71.0.0</t>
  </si>
  <si>
    <t>RQONE04817217</t>
  </si>
  <si>
    <t>FC-ARA : VehDev_SwSPSA / 71.0.0</t>
  </si>
  <si>
    <t>RQONE04818082</t>
  </si>
  <si>
    <t>BC : Oil / 102.0.0</t>
  </si>
  <si>
    <t>RQONE04820022</t>
  </si>
  <si>
    <t>FC-ARA : AirDvP_CSwSPSA / 71.0.0</t>
  </si>
  <si>
    <t>RQONE04820044</t>
  </si>
  <si>
    <t>FC-ARA : API_DELib_CSwSPSA / 71.0.0</t>
  </si>
  <si>
    <t>RQONE04820055</t>
  </si>
  <si>
    <t>FC-ARA : API_DELib_SwSPSA / 71.0.0</t>
  </si>
  <si>
    <t>RQONE04820068</t>
  </si>
  <si>
    <t>FC-ARA : ComDia_SwSPSA / 71.0.0</t>
  </si>
  <si>
    <t>RQONE04820077</t>
  </si>
  <si>
    <t>FC-ARA : ComVeh_CSwSPSA / 71.0.0</t>
  </si>
  <si>
    <t>RQONE04820090</t>
  </si>
  <si>
    <t>FC-ARA : ComVeh_SwSPSA / 71.0.0</t>
  </si>
  <si>
    <t>RQONE04820127</t>
  </si>
  <si>
    <t>FC-ARA : DiaBas_CSwSPSA / 71.0.0</t>
  </si>
  <si>
    <t>RQONE04820174</t>
  </si>
  <si>
    <t>FC-ARA : DrAs_SwSPSA / 71.0.0</t>
  </si>
  <si>
    <t>RQONE04820180</t>
  </si>
  <si>
    <t>FC-ARA : DSMBas_CSwSPSA / 71.0.0</t>
  </si>
  <si>
    <t>RQONE04820187</t>
  </si>
  <si>
    <t>FC-ARA : DSMBas_SwSPSA / 71.0.0</t>
  </si>
  <si>
    <t>RQONE04820199</t>
  </si>
  <si>
    <t>FC-ARA : ElDev_CSwSPSA / 71.0.0</t>
  </si>
  <si>
    <t>RQONE04820207</t>
  </si>
  <si>
    <t>FC-ARA : ElDev_SwSPSA / 71.0.0</t>
  </si>
  <si>
    <t>RQONE04820215</t>
  </si>
  <si>
    <t>FC-ARA : ElSS_SwSPSA / 71.0.0</t>
  </si>
  <si>
    <t>RQONE04820220</t>
  </si>
  <si>
    <t>FC-ARA : EngStrt_SwSPSA / 71.0.0</t>
  </si>
  <si>
    <t>RQONE04820224</t>
  </si>
  <si>
    <t>FC-ARA : Epm_SwSPSA / 71.0.0</t>
  </si>
  <si>
    <t>RQONE04820226</t>
  </si>
  <si>
    <t>FC-ARA : ExhMgT_SwSPSA / 71.0.0</t>
  </si>
  <si>
    <t>RQONE04820263</t>
  </si>
  <si>
    <t>FC-ARA : Mo_SwSPSA / 71.0.0</t>
  </si>
  <si>
    <t>RQONE04820267</t>
  </si>
  <si>
    <t>FC-ARA : PtDev_SwSPSA / 71.0.0</t>
  </si>
  <si>
    <t>RQONE04820276</t>
  </si>
  <si>
    <t>FC-ARA : PwrTrn_SwSPSA / 71.0.0</t>
  </si>
  <si>
    <t>RQONE04820280</t>
  </si>
  <si>
    <t>FC-ARA : VehC_SwSPSA / 71.0.0</t>
  </si>
  <si>
    <t>RQONE04820884</t>
  </si>
  <si>
    <t>FC-ARA : ComDia_CSwSPSA/ 71.0.0</t>
  </si>
  <si>
    <t>RQONE04820887</t>
  </si>
  <si>
    <t>FC-ARA : TabVerb_SwSAPSA / 71.0.0</t>
  </si>
  <si>
    <t>Nguyen Hoang Kha (MS/EPC42-PS) (GNK7HC)</t>
  </si>
  <si>
    <t>RQONE04822882</t>
  </si>
  <si>
    <t>BC : ComVeh / 109.82.0_1.0.0</t>
  </si>
  <si>
    <t>Nguyen Don Anh Minh (MS/EPC42-PS) (NUM5HC)</t>
  </si>
  <si>
    <t>Dang Dinh Gia Bao (MS/EPC42-PS) (DBA2HC)</t>
  </si>
  <si>
    <t>RQONE04830000</t>
  </si>
  <si>
    <t>BC : SwSAPSA / 38.166.0</t>
  </si>
  <si>
    <t>RQONE04830120</t>
  </si>
  <si>
    <t>FC-ARA : Mo_SwSPSA / 38.166.0</t>
  </si>
  <si>
    <t>RQONE04813934</t>
  </si>
  <si>
    <t>[eVCU Br2Bis Eu7] BSW2409 Migration - SwSAPSA migration -- [RbD_FD][8_ImplRvw] -- Implementation Review</t>
  </si>
  <si>
    <t>RQONE04814104</t>
  </si>
  <si>
    <t>[COM][0_Coord] - P-Res Coord - [eVCU Br2Bis Eu7] BSW2409 Migration - SwSAPSA migration</t>
  </si>
  <si>
    <t>RQONE04814235</t>
  </si>
  <si>
    <t>[eVCU Br2Bis Eu7] BSW2409 Migration - SwSAPSA migration -- [COM][1_An&amp;EE] -- Analysis &amp; Effort Estimationn</t>
  </si>
  <si>
    <t>RQONE04814602</t>
  </si>
  <si>
    <t>[eVCU Br2Bis Eu7] BSW2409 Migration - SwSAPSA migration -- [RbD_FD][2_ReqRvw] -- Review of Requirements Documentation</t>
  </si>
  <si>
    <t>RQONE04816014</t>
  </si>
  <si>
    <t>Requirement Review  _ ##Motorlagerinitialisierung#22-2025#2901716#2901716</t>
  </si>
  <si>
    <t>Chau Tri Cuong (MS/EPC42-PS) (CHC4HC)</t>
  </si>
  <si>
    <t>RQONE04816016</t>
  </si>
  <si>
    <t>Design  _ ##Motorlagerinitialisierung#22-2025#2901716#2901716</t>
  </si>
  <si>
    <t>RQONE04816017</t>
  </si>
  <si>
    <t>Coding  _ ##Motorlagerinitialisierung#22-2025#2901716#2901716</t>
  </si>
  <si>
    <t>RQONE04816018</t>
  </si>
  <si>
    <t>Code Review  _ ##Motorlagerinitialisierung#22-2025#2901716#2901716</t>
  </si>
  <si>
    <t>RQONE04816019</t>
  </si>
  <si>
    <t>SwQT  _ ##Motorlagerinitialisierung#22-2025#2901716#2901716</t>
  </si>
  <si>
    <t>RQONE04816020</t>
  </si>
  <si>
    <t>Review (Specification &amp; SwQT)  _ ##Motorlagerinitialisierung#22-2025#2901716#2901716</t>
  </si>
  <si>
    <t>RQONE04816021</t>
  </si>
  <si>
    <t>UT  _ ##Motorlagerinitialisierung#22-2025#2901716#2901716</t>
  </si>
  <si>
    <t>RQONE04819617</t>
  </si>
  <si>
    <t>RQONE04819683</t>
  </si>
  <si>
    <t>Nguyen Ba Vu Thach (MS/EPC42-PS) (TYH5HC)</t>
  </si>
  <si>
    <t>RQONE04819862</t>
  </si>
  <si>
    <t>[SWSAPSA][Dev] -- FC review - 01552_21_07967_v27.2 - CArASI for eVCU V2C14</t>
  </si>
  <si>
    <t>RQONE04819864</t>
  </si>
  <si>
    <t>[SWSAPSA][Dev] -- BC packaging - 01552_21_07967_v27.2 - CArASI for eVCU V2C14</t>
  </si>
  <si>
    <t>RQONE04819865</t>
  </si>
  <si>
    <t>[SWSAPSA][Dev] -- Development - 01552_21_07967_v27.2 - CArASI for eVCU V2C14</t>
  </si>
  <si>
    <t>RQONE04819867</t>
  </si>
  <si>
    <t>[SWSAPSA][DF1] -- DF1 preparation - 01552_21_07967_v27.2 - CArASI for eVCU V2C14</t>
  </si>
  <si>
    <t>RQONE04819869</t>
  </si>
  <si>
    <t>[SWSAPSA][DF1] -- DF1 review - 01552_21_07967_v27.2 - CArASI for eVCU V2C14</t>
  </si>
  <si>
    <t>RQONE04819871</t>
  </si>
  <si>
    <t>[SWSAPSA][DFx] -- DFx activities - 01552_21_07967_v27.2 - CArASI for eVCU V2C14</t>
  </si>
  <si>
    <t>RQONE04819872</t>
  </si>
  <si>
    <t>[SWSAPSA][Estimation] -- Effort Estimation activities - 01552_21_07967_v27.2 - CArASI for eVCU V2C14</t>
  </si>
  <si>
    <t>RQONE04819873</t>
  </si>
  <si>
    <t>[SWSAPSA][Estimation] -- Rough estimation activities - 01552_21_07967_v27.2 - CArASI for eVCU V2C14</t>
  </si>
  <si>
    <t>RQONE04819874</t>
  </si>
  <si>
    <t>[SWSAPSA][Integration] -- Test Integration - 01552_21_07967_v27.2 - CArASI for eVCU V2C14</t>
  </si>
  <si>
    <t>RQONE04819876</t>
  </si>
  <si>
    <t>[SWSAPSA][Val] -- UT/SWQT validation Review - 01552_21_07967_v27.2 - CArASI for eVCU V2C14</t>
  </si>
  <si>
    <t>Nguyen Nhat Duy (MS/EPC42-PS) (DYG9HC)</t>
  </si>
  <si>
    <t>RQONE04822703</t>
  </si>
  <si>
    <t>Change Request Evaluation FD - Re-Use: Beanstandung ComFehler wegen SOK - MQBw_baseline - prototype [Sideline 780.32.0_1.0.0]</t>
  </si>
  <si>
    <t>RQONE04822704</t>
  </si>
  <si>
    <t>Implementation - Re-Use: Beanstandung ComFehler wegen SOK - MQBw_baseline - prototype [Sideline 780.32.0_1.0.0]</t>
  </si>
  <si>
    <t>RQONE04822707</t>
  </si>
  <si>
    <t>Review of Implementation - Re-Use: Beanstandung ComFehler wegen SOK - MQBw_baseline - prototype [Sideline 780.32.0_1.0.0]</t>
  </si>
  <si>
    <t>RQONE04822709</t>
  </si>
  <si>
    <t>Test Execution - Re-Use: Beanstandung ComFehler wegen SOK - MQBw_baseline - prototype [Sideline 780.32.0_1.0.0]</t>
  </si>
  <si>
    <t>Phan Manh Cuong (MS/EPC42-PS) (PCH5HC)</t>
  </si>
  <si>
    <t>IntPVER</t>
  </si>
  <si>
    <t>Kumari Seemran (MS/EIN1-SWC) (WEU2KOR)</t>
  </si>
  <si>
    <t>RQONE04829167</t>
  </si>
  <si>
    <t>RQONE04829977</t>
  </si>
  <si>
    <t>[SWSAPSA][DOCMISC] -- DocMisc Requirement  [SWC - DPCDrvFAN] DPC FAN (C''/ C')</t>
  </si>
  <si>
    <t>Mohanapriya K (MS/EEP35-PS) (kor1cob)</t>
  </si>
  <si>
    <t>RQONE04829978</t>
  </si>
  <si>
    <t>[SWSAPSA][DOCMISC] -- DocMisc RequirementHP Sensor Air conditioning: DPCpAC</t>
  </si>
  <si>
    <r>
      <t>RQONE04481065</t>
    </r>
    <r>
      <rPr>
        <sz val="10"/>
        <rFont val="Arial"/>
      </rPr>
      <t xml:space="preserve">
Khuat Duy Nguyen (MS/EPC42-PS)</t>
    </r>
  </si>
  <si>
    <r>
      <t>RQONE04481124</t>
    </r>
    <r>
      <rPr>
        <sz val="10"/>
        <rFont val="Arial"/>
      </rPr>
      <t xml:space="preserve">
Khuat Duy Nguyen (MS/EPC42-PS)</t>
    </r>
  </si>
  <si>
    <r>
      <t>RQONE04611021</t>
    </r>
    <r>
      <rPr>
        <sz val="10"/>
        <rFont val="Arial"/>
      </rPr>
      <t xml:space="preserve">
Pham Minh Tri (MS/EPC42-PS)</t>
    </r>
  </si>
  <si>
    <r>
      <t>RQONE04681579</t>
    </r>
    <r>
      <rPr>
        <sz val="10"/>
        <rFont val="Arial"/>
      </rPr>
      <t xml:space="preserve">
Pham Nguyen Ngoc Toan (MS/EPC42-PS)</t>
    </r>
  </si>
  <si>
    <r>
      <t>RQONE04781644</t>
    </r>
    <r>
      <rPr>
        <sz val="10"/>
        <rFont val="Arial"/>
      </rPr>
      <t xml:space="preserve">
Dang Sy Binh (MS/EPC42-PS)</t>
    </r>
  </si>
  <si>
    <r>
      <t>RQONE04789557</t>
    </r>
    <r>
      <rPr>
        <sz val="10"/>
        <rFont val="Arial"/>
      </rPr>
      <t xml:space="preserve">
Nguyen Le Thanh Loc (MS/EPC42-PS)</t>
    </r>
  </si>
  <si>
    <r>
      <t>RQONE04791555</t>
    </r>
    <r>
      <rPr>
        <sz val="10"/>
        <rFont val="Arial"/>
      </rPr>
      <t xml:space="preserve">
Nguyen Ba Vu Thach (MS/EPC42-PS)</t>
    </r>
  </si>
  <si>
    <r>
      <t>RQONE04811494</t>
    </r>
    <r>
      <rPr>
        <sz val="10"/>
        <rFont val="Arial"/>
      </rPr>
      <t xml:space="preserve">
Nguyen Huu Dat (MS/EPC42-PS)</t>
    </r>
  </si>
  <si>
    <r>
      <t>RQONE04811498</t>
    </r>
    <r>
      <rPr>
        <sz val="10"/>
        <rFont val="Arial"/>
      </rPr>
      <t xml:space="preserve">
Nguyen Huu Dat (MS/EPC42-PS)</t>
    </r>
  </si>
  <si>
    <r>
      <t>RQONE04811513</t>
    </r>
    <r>
      <rPr>
        <sz val="10"/>
        <rFont val="Arial"/>
      </rPr>
      <t xml:space="preserve">
Nguyen Huu Dat (MS/EPC42-PS)</t>
    </r>
  </si>
  <si>
    <r>
      <t>RQONE04812313</t>
    </r>
    <r>
      <rPr>
        <sz val="10"/>
        <rFont val="Arial"/>
      </rPr>
      <t xml:space="preserve">
Nguyen Huu Dat (MS/EPC42-PS)</t>
    </r>
  </si>
  <si>
    <r>
      <t>RQONE04812318</t>
    </r>
    <r>
      <rPr>
        <sz val="10"/>
        <rFont val="Arial"/>
      </rPr>
      <t xml:space="preserve">
Nguyen Huu Dat (MS/EPC42-PS)</t>
    </r>
  </si>
  <si>
    <r>
      <t>RQONE04819680</t>
    </r>
    <r>
      <rPr>
        <sz val="10"/>
        <rFont val="Arial"/>
      </rPr>
      <t xml:space="preserve">
Nguyen Huu Dat (MS/EPC42-PS)</t>
    </r>
  </si>
  <si>
    <r>
      <t>RQONE04820961</t>
    </r>
    <r>
      <rPr>
        <sz val="10"/>
        <rFont val="Arial"/>
      </rPr>
      <t xml:space="preserve">
Nguyen Dang Ngung (MS/EPC42-PS)</t>
    </r>
  </si>
  <si>
    <r>
      <t>RQONE04821903</t>
    </r>
    <r>
      <rPr>
        <sz val="10"/>
        <rFont val="Arial"/>
      </rPr>
      <t xml:space="preserve">
Pham Nguyen Ngoc Toan (MS/EPC42-PS)</t>
    </r>
  </si>
  <si>
    <r>
      <t>RQONE04827602</t>
    </r>
    <r>
      <rPr>
        <sz val="10"/>
        <rFont val="Arial"/>
      </rPr>
      <t xml:space="preserve">
Pham Nguyen Ngoc Toan (MS/EPC42-PS)</t>
    </r>
  </si>
  <si>
    <r>
      <t>RQONE04827693</t>
    </r>
    <r>
      <rPr>
        <sz val="10"/>
        <rFont val="Arial"/>
      </rPr>
      <t xml:space="preserve">
Pham Nguyen Ngoc Toan (MS/EPC42-PS)</t>
    </r>
  </si>
  <si>
    <r>
      <t>RQONE04827754</t>
    </r>
    <r>
      <rPr>
        <sz val="10"/>
        <rFont val="Arial"/>
      </rPr>
      <t xml:space="preserve">
Le Do Nguyen Chuong (MS/EPC42-PS)</t>
    </r>
  </si>
  <si>
    <r>
      <t>RQONE04827783</t>
    </r>
    <r>
      <rPr>
        <sz val="10"/>
        <rFont val="Arial"/>
      </rPr>
      <t xml:space="preserve">
Le Do Nguyen Chuong (MS/EPC42-PS)</t>
    </r>
  </si>
  <si>
    <r>
      <t>RQONE04828841</t>
    </r>
    <r>
      <rPr>
        <sz val="10"/>
        <rFont val="Arial"/>
      </rPr>
      <t xml:space="preserve">
Le Do Nguyen Chuong (MS/EPC42-PS)</t>
    </r>
  </si>
  <si>
    <r>
      <t>RQONE04829466</t>
    </r>
    <r>
      <rPr>
        <sz val="10"/>
        <rFont val="Arial"/>
      </rPr>
      <t xml:space="preserve">
Le Do Nguyen Chuong (MS/EPC42-PS)</t>
    </r>
  </si>
  <si>
    <r>
      <t>RQONE04830821</t>
    </r>
    <r>
      <rPr>
        <sz val="10"/>
        <rFont val="Arial"/>
      </rPr>
      <t xml:space="preserve">
Le Do Nguyen Chuong (MS/EPC42-PS)</t>
    </r>
  </si>
  <si>
    <r>
      <t>RQONE04628961</t>
    </r>
    <r>
      <rPr>
        <sz val="10"/>
        <rFont val="Arial"/>
      </rPr>
      <t xml:space="preserve">
Le Do Nguyen Chuong (MS/EPC42-PS)
12/27/2025</t>
    </r>
  </si>
  <si>
    <r>
      <t>RQONE04647961</t>
    </r>
    <r>
      <rPr>
        <sz val="10"/>
        <rFont val="Arial"/>
      </rPr>
      <t xml:space="preserve">
Le Do Nguyen Chuong (MS/EPC42-PS)
12/27/2025</t>
    </r>
  </si>
  <si>
    <r>
      <t>RQONE04648032</t>
    </r>
    <r>
      <rPr>
        <sz val="10"/>
        <rFont val="Arial"/>
      </rPr>
      <t xml:space="preserve">
Le Do Nguyen Chuong (MS/EPC42-PS)
12/27/2025</t>
    </r>
  </si>
  <si>
    <r>
      <t>RQONE04809715</t>
    </r>
    <r>
      <rPr>
        <sz val="10"/>
        <rFont val="Arial"/>
      </rPr>
      <t xml:space="preserve">
Bui Sy Quan (MS/EPC42-PS)
11/30/2025</t>
    </r>
  </si>
  <si>
    <r>
      <t>RQONE04810868</t>
    </r>
    <r>
      <rPr>
        <sz val="10"/>
        <rFont val="Arial"/>
      </rPr>
      <t xml:space="preserve">
Bui Sy Quan (MS/EPC42-PS)
11/30/2025</t>
    </r>
  </si>
  <si>
    <r>
      <t>RQONE04811274</t>
    </r>
    <r>
      <rPr>
        <sz val="10"/>
        <rFont val="Arial"/>
      </rPr>
      <t xml:space="preserve">
Bui Sy Quan (MS/EPC42-PS)
11/30/2025</t>
    </r>
  </si>
  <si>
    <r>
      <t>RQONE04811292</t>
    </r>
    <r>
      <rPr>
        <sz val="10"/>
        <rFont val="Arial"/>
      </rPr>
      <t xml:space="preserve">
Bui Sy Quan (MS/EPC42-PS)
11/30/2025</t>
    </r>
  </si>
  <si>
    <r>
      <t>RQONE04811348</t>
    </r>
    <r>
      <rPr>
        <sz val="10"/>
        <rFont val="Arial"/>
      </rPr>
      <t xml:space="preserve">
Bui Sy Quan (MS/EPC42-PS)
11/30/2025</t>
    </r>
  </si>
  <si>
    <r>
      <t>RQONE04811371</t>
    </r>
    <r>
      <rPr>
        <sz val="10"/>
        <rFont val="Arial"/>
      </rPr>
      <t xml:space="preserve">
Bui Sy Quan (MS/EPC42-PS)
11/30/2025</t>
    </r>
  </si>
  <si>
    <r>
      <t>RQONE04811410</t>
    </r>
    <r>
      <rPr>
        <sz val="10"/>
        <rFont val="Arial"/>
      </rPr>
      <t xml:space="preserve">
Bui Sy Quan (MS/EPC42-PS)
11/30/2025</t>
    </r>
  </si>
  <si>
    <r>
      <t>RQONE04811480</t>
    </r>
    <r>
      <rPr>
        <sz val="10"/>
        <rFont val="Arial"/>
      </rPr>
      <t xml:space="preserve">
Bui Sy Quan (MS/EPC42-PS)
11/30/2025</t>
    </r>
  </si>
  <si>
    <r>
      <t>RQONE04811487</t>
    </r>
    <r>
      <rPr>
        <sz val="10"/>
        <rFont val="Arial"/>
      </rPr>
      <t xml:space="preserve">
Bui Sy Quan (MS/EPC42-PS)
11/30/2025</t>
    </r>
  </si>
  <si>
    <r>
      <t>RQONE04811508</t>
    </r>
    <r>
      <rPr>
        <sz val="10"/>
        <rFont val="Arial"/>
      </rPr>
      <t xml:space="preserve">
Nguyen Huu Dat (MS/EPC42-PS)
1/23/2026</t>
    </r>
  </si>
  <si>
    <r>
      <t>RQONE04814234</t>
    </r>
    <r>
      <rPr>
        <sz val="10"/>
        <rFont val="Arial"/>
      </rPr>
      <t xml:space="preserve">
Dao Phi Duong (MS/EPC42-PS)
11/30/2025</t>
    </r>
  </si>
  <si>
    <r>
      <t>RQONE04814735</t>
    </r>
    <r>
      <rPr>
        <sz val="10"/>
        <rFont val="Arial"/>
      </rPr>
      <t xml:space="preserve">
Dao Phi Duong (MS/EPC42-PS)
11/30/2025</t>
    </r>
  </si>
  <si>
    <r>
      <t>RQONE04814744</t>
    </r>
    <r>
      <rPr>
        <sz val="10"/>
        <rFont val="Arial"/>
      </rPr>
      <t xml:space="preserve">
Dao Phi Duong (MS/EPC42-PS)
11/30/2025</t>
    </r>
  </si>
  <si>
    <r>
      <t>RQONE04814752</t>
    </r>
    <r>
      <rPr>
        <sz val="10"/>
        <rFont val="Arial"/>
      </rPr>
      <t xml:space="preserve">
Dao Phi Duong (MS/EPC42-PS)
11/30/2025</t>
    </r>
  </si>
  <si>
    <r>
      <t>RQONE04814866</t>
    </r>
    <r>
      <rPr>
        <sz val="10"/>
        <rFont val="Arial"/>
      </rPr>
      <t xml:space="preserve">
Dao Phi Duong (MS/EPC42-PS)
11/30/2025</t>
    </r>
  </si>
  <si>
    <r>
      <t>RQONE04814898</t>
    </r>
    <r>
      <rPr>
        <sz val="10"/>
        <rFont val="Arial"/>
      </rPr>
      <t xml:space="preserve">
Dao Phi Duong (MS/EPC42-PS)
11/30/2025</t>
    </r>
  </si>
  <si>
    <r>
      <t>RQONE04814915</t>
    </r>
    <r>
      <rPr>
        <sz val="10"/>
        <rFont val="Arial"/>
      </rPr>
      <t xml:space="preserve">
Dao Phi Duong (MS/EPC42-PS)
11/30/2025</t>
    </r>
  </si>
  <si>
    <r>
      <t>RQONE04814917</t>
    </r>
    <r>
      <rPr>
        <sz val="10"/>
        <rFont val="Arial"/>
      </rPr>
      <t xml:space="preserve">
Dao Phi Duong (MS/EPC42-PS)
11/30/2025</t>
    </r>
  </si>
  <si>
    <r>
      <t>RQONE04814933</t>
    </r>
    <r>
      <rPr>
        <sz val="10"/>
        <rFont val="Arial"/>
      </rPr>
      <t xml:space="preserve">
Dao Phi Duong (MS/EPC42-PS)
11/30/2025</t>
    </r>
  </si>
  <si>
    <r>
      <t>RQONE04814956</t>
    </r>
    <r>
      <rPr>
        <sz val="10"/>
        <rFont val="Arial"/>
      </rPr>
      <t xml:space="preserve">
Dao Phi Duong (MS/EPC42-PS)
11/30/2025</t>
    </r>
  </si>
  <si>
    <r>
      <t>RQONE04814966</t>
    </r>
    <r>
      <rPr>
        <sz val="10"/>
        <rFont val="Arial"/>
      </rPr>
      <t xml:space="preserve">
Dao Phi Duong (MS/EPC42-PS)
11/30/2025</t>
    </r>
  </si>
  <si>
    <r>
      <t>RQONE04815101</t>
    </r>
    <r>
      <rPr>
        <sz val="10"/>
        <rFont val="Arial"/>
      </rPr>
      <t xml:space="preserve">
Dao Phi Duong (MS/EPC42-PS)
11/30/2025</t>
    </r>
  </si>
  <si>
    <r>
      <t>RQONE04816075</t>
    </r>
    <r>
      <rPr>
        <sz val="10"/>
        <rFont val="Arial"/>
      </rPr>
      <t xml:space="preserve">
Bui Sy Quan (MS/EPC42-PS)
12/1/2025</t>
    </r>
  </si>
  <si>
    <r>
      <t>RQONE04816101</t>
    </r>
    <r>
      <rPr>
        <sz val="10"/>
        <rFont val="Arial"/>
      </rPr>
      <t xml:space="preserve">
Bui Sy Quan (MS/EPC42-PS)
12/1/2025</t>
    </r>
  </si>
  <si>
    <r>
      <t>RQONE04816110</t>
    </r>
    <r>
      <rPr>
        <sz val="10"/>
        <rFont val="Arial"/>
      </rPr>
      <t xml:space="preserve">
Bui Sy Quan (MS/EPC42-PS)
12/1/2025</t>
    </r>
  </si>
  <si>
    <r>
      <t>RQONE04816928</t>
    </r>
    <r>
      <rPr>
        <sz val="10"/>
        <rFont val="Arial"/>
      </rPr>
      <t xml:space="preserve">
Bui Sy Quan (MS/EPC42-PS)
12/1/2025</t>
    </r>
  </si>
  <si>
    <r>
      <t>RQONE04817090</t>
    </r>
    <r>
      <rPr>
        <sz val="10"/>
        <rFont val="Arial"/>
      </rPr>
      <t xml:space="preserve">
Bui Sy Quan (MS/EPC42-PS)
12/1/2025</t>
    </r>
  </si>
  <si>
    <r>
      <t>RQONE04817100</t>
    </r>
    <r>
      <rPr>
        <sz val="10"/>
        <rFont val="Arial"/>
      </rPr>
      <t xml:space="preserve">
Bui Sy Quan (MS/EPC42-PS)
12/1/2025</t>
    </r>
  </si>
  <si>
    <r>
      <t>RQONE04817171</t>
    </r>
    <r>
      <rPr>
        <sz val="10"/>
        <rFont val="Arial"/>
      </rPr>
      <t xml:space="preserve">
Bui Sy Quan (MS/EPC42-PS)
12/1/2025</t>
    </r>
  </si>
  <si>
    <r>
      <t>RQONE04817176</t>
    </r>
    <r>
      <rPr>
        <sz val="10"/>
        <rFont val="Arial"/>
      </rPr>
      <t xml:space="preserve">
Bui Sy Quan (MS/EPC42-PS)
12/1/2025</t>
    </r>
  </si>
  <si>
    <r>
      <t>RQONE04817180</t>
    </r>
    <r>
      <rPr>
        <sz val="10"/>
        <rFont val="Arial"/>
      </rPr>
      <t xml:space="preserve">
Bui Sy Quan (MS/EPC42-PS)
12/1/2025</t>
    </r>
  </si>
  <si>
    <r>
      <t>RQONE04817188</t>
    </r>
    <r>
      <rPr>
        <sz val="10"/>
        <rFont val="Arial"/>
      </rPr>
      <t xml:space="preserve">
Bui Sy Quan (MS/EPC42-PS)
12/1/2025</t>
    </r>
  </si>
  <si>
    <r>
      <t>RQONE04817194</t>
    </r>
    <r>
      <rPr>
        <sz val="10"/>
        <rFont val="Arial"/>
      </rPr>
      <t xml:space="preserve">
Bui Sy Quan (MS/EPC42-PS)
12/1/2025</t>
    </r>
  </si>
  <si>
    <r>
      <t>RQONE04817199</t>
    </r>
    <r>
      <rPr>
        <sz val="10"/>
        <rFont val="Arial"/>
      </rPr>
      <t xml:space="preserve">
Bui Sy Quan (MS/EPC42-PS)
12/1/2025</t>
    </r>
  </si>
  <si>
    <r>
      <t>RQONE04817206</t>
    </r>
    <r>
      <rPr>
        <sz val="10"/>
        <rFont val="Arial"/>
      </rPr>
      <t xml:space="preserve">
Bui Sy Quan (MS/EPC42-PS)
12/1/2025</t>
    </r>
  </si>
  <si>
    <r>
      <t>RQONE04817217</t>
    </r>
    <r>
      <rPr>
        <sz val="10"/>
        <rFont val="Arial"/>
      </rPr>
      <t xml:space="preserve">
Bui Sy Quan (MS/EPC42-PS)
12/1/2025</t>
    </r>
  </si>
  <si>
    <r>
      <t>RQONE04820022</t>
    </r>
    <r>
      <rPr>
        <sz val="10"/>
        <rFont val="Arial"/>
      </rPr>
      <t xml:space="preserve">
Dao Phi Duong (MS/EPC42-PS)
12/1/2025</t>
    </r>
  </si>
  <si>
    <r>
      <t>RQONE04820044</t>
    </r>
    <r>
      <rPr>
        <sz val="10"/>
        <rFont val="Arial"/>
      </rPr>
      <t xml:space="preserve">
Dao Phi Duong (MS/EPC42-PS)
12/1/2025</t>
    </r>
  </si>
  <si>
    <r>
      <t>RQONE04820055</t>
    </r>
    <r>
      <rPr>
        <sz val="10"/>
        <rFont val="Arial"/>
      </rPr>
      <t xml:space="preserve">
Dao Phi Duong (MS/EPC42-PS)
12/1/2025</t>
    </r>
  </si>
  <si>
    <r>
      <t>RQONE04820068</t>
    </r>
    <r>
      <rPr>
        <sz val="10"/>
        <rFont val="Arial"/>
      </rPr>
      <t xml:space="preserve">
Dao Phi Duong (MS/EPC42-PS)
12/1/2025</t>
    </r>
  </si>
  <si>
    <r>
      <t>RQONE04820077</t>
    </r>
    <r>
      <rPr>
        <sz val="10"/>
        <rFont val="Arial"/>
      </rPr>
      <t xml:space="preserve">
Dao Phi Duong (MS/EPC42-PS)
12/1/2025</t>
    </r>
  </si>
  <si>
    <r>
      <t>RQONE04820090</t>
    </r>
    <r>
      <rPr>
        <sz val="10"/>
        <rFont val="Arial"/>
      </rPr>
      <t xml:space="preserve">
Dao Phi Duong (MS/EPC42-PS)
12/1/2025</t>
    </r>
  </si>
  <si>
    <r>
      <t>RQONE04820127</t>
    </r>
    <r>
      <rPr>
        <sz val="10"/>
        <rFont val="Arial"/>
      </rPr>
      <t xml:space="preserve">
Dao Phi Duong (MS/EPC42-PS)
12/1/2025</t>
    </r>
  </si>
  <si>
    <r>
      <t>RQONE04820174</t>
    </r>
    <r>
      <rPr>
        <sz val="10"/>
        <rFont val="Arial"/>
      </rPr>
      <t xml:space="preserve">
Dao Phi Duong (MS/EPC42-PS)
12/1/2025</t>
    </r>
  </si>
  <si>
    <r>
      <t>RQONE04820180</t>
    </r>
    <r>
      <rPr>
        <sz val="10"/>
        <rFont val="Arial"/>
      </rPr>
      <t xml:space="preserve">
Dao Phi Duong (MS/EPC42-PS)
12/1/2025</t>
    </r>
  </si>
  <si>
    <r>
      <t>RQONE04820187</t>
    </r>
    <r>
      <rPr>
        <sz val="10"/>
        <rFont val="Arial"/>
      </rPr>
      <t xml:space="preserve">
Dao Phi Duong (MS/EPC42-PS)
12/1/2025</t>
    </r>
  </si>
  <si>
    <r>
      <t>RQONE04820199</t>
    </r>
    <r>
      <rPr>
        <sz val="10"/>
        <rFont val="Arial"/>
      </rPr>
      <t xml:space="preserve">
Dao Phi Duong (MS/EPC42-PS)
12/1/2025</t>
    </r>
  </si>
  <si>
    <r>
      <t>RQONE04820207</t>
    </r>
    <r>
      <rPr>
        <sz val="10"/>
        <rFont val="Arial"/>
      </rPr>
      <t xml:space="preserve">
Dao Phi Duong (MS/EPC42-PS)
12/1/2025</t>
    </r>
  </si>
  <si>
    <r>
      <t>RQONE04820215</t>
    </r>
    <r>
      <rPr>
        <sz val="10"/>
        <rFont val="Arial"/>
      </rPr>
      <t xml:space="preserve">
Dao Phi Duong (MS/EPC42-PS)
12/1/2025</t>
    </r>
  </si>
  <si>
    <r>
      <t>RQONE04820220</t>
    </r>
    <r>
      <rPr>
        <sz val="10"/>
        <rFont val="Arial"/>
      </rPr>
      <t xml:space="preserve">
Dao Phi Duong (MS/EPC42-PS)
12/1/2025</t>
    </r>
  </si>
  <si>
    <r>
      <t>RQONE04820224</t>
    </r>
    <r>
      <rPr>
        <sz val="10"/>
        <rFont val="Arial"/>
      </rPr>
      <t xml:space="preserve">
Dao Phi Duong (MS/EPC42-PS)
12/1/2025</t>
    </r>
  </si>
  <si>
    <r>
      <t>RQONE04820226</t>
    </r>
    <r>
      <rPr>
        <sz val="10"/>
        <rFont val="Arial"/>
      </rPr>
      <t xml:space="preserve">
Dao Phi Duong (MS/EPC42-PS)
12/1/2025</t>
    </r>
  </si>
  <si>
    <r>
      <t>RQONE04820263</t>
    </r>
    <r>
      <rPr>
        <sz val="10"/>
        <rFont val="Arial"/>
      </rPr>
      <t xml:space="preserve">
Dao Phi Duong (MS/EPC42-PS)
12/1/2025</t>
    </r>
  </si>
  <si>
    <r>
      <t>RQONE04820267</t>
    </r>
    <r>
      <rPr>
        <sz val="10"/>
        <rFont val="Arial"/>
      </rPr>
      <t xml:space="preserve">
Dao Phi Duong (MS/EPC42-PS)
12/1/2025</t>
    </r>
  </si>
  <si>
    <r>
      <t>RQONE04820276</t>
    </r>
    <r>
      <rPr>
        <sz val="10"/>
        <rFont val="Arial"/>
      </rPr>
      <t xml:space="preserve">
Dao Phi Duong (MS/EPC42-PS)
12/1/2025</t>
    </r>
  </si>
  <si>
    <r>
      <t>RQONE04820280</t>
    </r>
    <r>
      <rPr>
        <sz val="10"/>
        <rFont val="Arial"/>
      </rPr>
      <t xml:space="preserve">
Dao Phi Duong (MS/EPC42-PS)
12/1/2025</t>
    </r>
  </si>
  <si>
    <r>
      <t>RQONE04820884</t>
    </r>
    <r>
      <rPr>
        <sz val="10"/>
        <rFont val="Arial"/>
      </rPr>
      <t xml:space="preserve">
Nguyen Huu Dat (MS/EPC42-PS)
12/1/2025</t>
    </r>
  </si>
  <si>
    <r>
      <t>RQONE04820887</t>
    </r>
    <r>
      <rPr>
        <sz val="10"/>
        <rFont val="Arial"/>
      </rPr>
      <t xml:space="preserve">
Nguyen Huu Dat (MS/EPC42-PS)
12/1/2025</t>
    </r>
  </si>
  <si>
    <r>
      <t>RQONE04830000</t>
    </r>
    <r>
      <rPr>
        <sz val="10"/>
        <rFont val="Arial"/>
      </rPr>
      <t xml:space="preserve">
Le Do Nguyen Chuong (MS/EPC42-PS)
11/10/2025</t>
    </r>
  </si>
  <si>
    <r>
      <t>RQONE04443218</t>
    </r>
    <r>
      <rPr>
        <sz val="10"/>
        <rFont val="Arial"/>
      </rPr>
      <t xml:space="preserve">
Huynh Quoc Hoang (MS/EPC42-PS)
</t>
    </r>
  </si>
  <si>
    <r>
      <t>RQONE04724592</t>
    </r>
    <r>
      <rPr>
        <sz val="10"/>
        <rFont val="Arial"/>
      </rPr>
      <t xml:space="preserve">
Nguyen Don Anh Minh (MS/EPC42-PS)
</t>
    </r>
  </si>
  <si>
    <r>
      <t>RQONE04724595</t>
    </r>
    <r>
      <rPr>
        <sz val="10"/>
        <rFont val="Arial"/>
      </rPr>
      <t xml:space="preserve">
Nguyen Don Anh Minh (MS/EPC42-PS)
</t>
    </r>
  </si>
  <si>
    <r>
      <t>RQONE04778134</t>
    </r>
    <r>
      <rPr>
        <sz val="10"/>
        <rFont val="Arial"/>
      </rPr>
      <t xml:space="preserve">
Chau Tri Cuong (MS/EPC42-PS)
11/29/2025</t>
    </r>
  </si>
  <si>
    <r>
      <t>RQONE04778172</t>
    </r>
    <r>
      <rPr>
        <sz val="10"/>
        <rFont val="Arial"/>
      </rPr>
      <t xml:space="preserve">
Chau Tri Cuong (MS/EPC42-PS)
11/29/2025</t>
    </r>
  </si>
  <si>
    <r>
      <t>RQONE04778200</t>
    </r>
    <r>
      <rPr>
        <sz val="10"/>
        <rFont val="Arial"/>
      </rPr>
      <t xml:space="preserve">
Nguyen Huu Dat (MS/EPC42-PS)
11/29/2025</t>
    </r>
  </si>
  <si>
    <r>
      <t>RQONE04816014</t>
    </r>
    <r>
      <rPr>
        <sz val="10"/>
        <rFont val="Arial"/>
      </rPr>
      <t xml:space="preserve">
Khuat Duy Nguyen (MS/EPC42-PS)
</t>
    </r>
  </si>
  <si>
    <r>
      <t>RQONE04816018</t>
    </r>
    <r>
      <rPr>
        <sz val="10"/>
        <rFont val="Arial"/>
      </rPr>
      <t xml:space="preserve">
Khuat Duy Nguyen (MS/EPC42-PS)
</t>
    </r>
  </si>
  <si>
    <r>
      <t>RQONE04816019</t>
    </r>
    <r>
      <rPr>
        <sz val="10"/>
        <rFont val="Arial"/>
      </rPr>
      <t xml:space="preserve">
Chau Tri Cuong (MS/EPC42-PS)
</t>
    </r>
  </si>
  <si>
    <r>
      <t>RQONE04816020</t>
    </r>
    <r>
      <rPr>
        <sz val="10"/>
        <rFont val="Arial"/>
      </rPr>
      <t xml:space="preserve">
Khuat Duy Nguyen (MS/EPC42-PS)
</t>
    </r>
  </si>
  <si>
    <r>
      <t>RQONE04816021</t>
    </r>
    <r>
      <rPr>
        <sz val="10"/>
        <rFont val="Arial"/>
      </rPr>
      <t xml:space="preserve">
Chau Tri Cuong (MS/EPC42-PS)
</t>
    </r>
  </si>
  <si>
    <r>
      <t>RQONE04819862</t>
    </r>
    <r>
      <rPr>
        <sz val="10"/>
        <rFont val="Arial"/>
      </rPr>
      <t xml:space="preserve">
Nguyen Huu Dat (MS/EPC42-PS)
</t>
    </r>
  </si>
  <si>
    <r>
      <t>RQONE04819864</t>
    </r>
    <r>
      <rPr>
        <sz val="10"/>
        <rFont val="Arial"/>
      </rPr>
      <t xml:space="preserve">
Nguyen Huu Dat (MS/EPC42-PS)
</t>
    </r>
  </si>
  <si>
    <r>
      <t>RQONE04819865</t>
    </r>
    <r>
      <rPr>
        <sz val="10"/>
        <rFont val="Arial"/>
      </rPr>
      <t xml:space="preserve">
Nguyen Huu Dat (MS/EPC42-PS)
</t>
    </r>
  </si>
  <si>
    <r>
      <t>RQONE04819867</t>
    </r>
    <r>
      <rPr>
        <sz val="10"/>
        <rFont val="Arial"/>
      </rPr>
      <t xml:space="preserve">
Nguyen Huu Dat (MS/EPC42-PS)
</t>
    </r>
  </si>
  <si>
    <r>
      <t>RQONE04819869</t>
    </r>
    <r>
      <rPr>
        <sz val="10"/>
        <rFont val="Arial"/>
      </rPr>
      <t xml:space="preserve">
Nguyen Huu Dat (MS/EPC42-PS)
</t>
    </r>
  </si>
  <si>
    <r>
      <t>RQONE04819871</t>
    </r>
    <r>
      <rPr>
        <sz val="10"/>
        <rFont val="Arial"/>
      </rPr>
      <t xml:space="preserve">
Nguyen Huu Dat (MS/EPC42-PS)
</t>
    </r>
  </si>
  <si>
    <r>
      <t>RQONE04819872</t>
    </r>
    <r>
      <rPr>
        <sz val="10"/>
        <rFont val="Arial"/>
      </rPr>
      <t xml:space="preserve">
Nguyen Huu Dat (MS/EPC42-PS)
</t>
    </r>
  </si>
  <si>
    <r>
      <t>RQONE04819873</t>
    </r>
    <r>
      <rPr>
        <sz val="10"/>
        <rFont val="Arial"/>
      </rPr>
      <t xml:space="preserve">
Nguyen Huu Dat (MS/EPC42-PS)
</t>
    </r>
  </si>
  <si>
    <r>
      <t>RQONE04819874</t>
    </r>
    <r>
      <rPr>
        <sz val="10"/>
        <rFont val="Arial"/>
      </rPr>
      <t xml:space="preserve">
Nguyen Huu Dat (MS/EPC42-PS)
</t>
    </r>
  </si>
  <si>
    <r>
      <t>RQONE04819876</t>
    </r>
    <r>
      <rPr>
        <sz val="10"/>
        <rFont val="Arial"/>
      </rPr>
      <t xml:space="preserve">
Nguyen Huu Dat (MS/EPC42-PS)
</t>
    </r>
  </si>
  <si>
    <r>
      <t>RQONE04822703</t>
    </r>
    <r>
      <rPr>
        <sz val="10"/>
        <rFont val="Arial"/>
      </rPr>
      <t xml:space="preserve">
Nguyen Nhat Duy (MS/EPC42-PS)
</t>
    </r>
  </si>
  <si>
    <r>
      <t>RQONE04822704</t>
    </r>
    <r>
      <rPr>
        <sz val="10"/>
        <rFont val="Arial"/>
      </rPr>
      <t xml:space="preserve">
Nguyen Nhat Duy (MS/EPC42-PS)
</t>
    </r>
  </si>
  <si>
    <r>
      <t>RQONE04822707</t>
    </r>
    <r>
      <rPr>
        <sz val="10"/>
        <rFont val="Arial"/>
      </rPr>
      <t xml:space="preserve">
Nguyen Nhat Duy (MS/EPC42-PS)
</t>
    </r>
  </si>
  <si>
    <r>
      <t>RQONE04822709</t>
    </r>
    <r>
      <rPr>
        <sz val="10"/>
        <rFont val="Arial"/>
      </rPr>
      <t xml:space="preserve">
Nguyen Nhat Duy (MS/EPC42-PS)
</t>
    </r>
  </si>
  <si>
    <r>
      <t>RQONE04829977</t>
    </r>
    <r>
      <rPr>
        <sz val="10"/>
        <rFont val="Arial"/>
      </rPr>
      <t xml:space="preserve">
Nguyen Huu Dat (MS/EPC42-PS)
</t>
    </r>
  </si>
  <si>
    <r>
      <t>RQONE04829978</t>
    </r>
    <r>
      <rPr>
        <sz val="10"/>
        <rFont val="Arial"/>
      </rPr>
      <t xml:space="preserve">
Nguyen Huu Dat (MS/EPC42-PS)
</t>
    </r>
  </si>
  <si>
    <t>RQONE04837367</t>
  </si>
  <si>
    <t>False Alarm testcases - 780.x.x</t>
  </si>
  <si>
    <t>RQONE04837374</t>
  </si>
  <si>
    <t>False Alarm testcases - 504.x.x</t>
  </si>
  <si>
    <t>Mitsubishi Cars</t>
  </si>
  <si>
    <t>RQONE04837592</t>
  </si>
  <si>
    <t>[MMC 4B17][SRL #0016] Oil pressure sensor</t>
  </si>
  <si>
    <t>Amada Yudai (PS-SC/ECH2-JP) (AMY3YH)</t>
  </si>
  <si>
    <t>BM-00098034_006</t>
  </si>
  <si>
    <t>RQONE04835071</t>
  </si>
  <si>
    <t>FC-ARA : API_DELib_CSwSPSA / 42.49.0</t>
  </si>
  <si>
    <t>RQONE04835129</t>
  </si>
  <si>
    <t>FC-ARA : ComDia_SwSPSA / 42.49.0</t>
  </si>
  <si>
    <t>RQONE04835140</t>
  </si>
  <si>
    <t>FC-ARA : ComVeh_SwSPSA / 42.49.0</t>
  </si>
  <si>
    <t>RQONE04835144</t>
  </si>
  <si>
    <t>FC-ARA : VehC_SwSPSA / 42.49.0</t>
  </si>
  <si>
    <t>Le Ngoc Tien (MS/EPC42-PS) (ETG81HC)</t>
  </si>
  <si>
    <t>RQONE04839372</t>
  </si>
  <si>
    <t>FC-ARA : ComVeh_SwSPSA / 82.0.0</t>
  </si>
  <si>
    <t>RQONE04839838</t>
  </si>
  <si>
    <t>FC-ARA : ComDia_SwSPSA / 82.0.0</t>
  </si>
  <si>
    <t>RQONE04839844</t>
  </si>
  <si>
    <t>FC-ARA : VehC_SwSPSA / 82.0.0</t>
  </si>
  <si>
    <t>RQONE04840319</t>
  </si>
  <si>
    <t>FC-ARA : API_DELib_CSwSPSA / 82.0.0</t>
  </si>
  <si>
    <t>RQONE04840341</t>
  </si>
  <si>
    <t>FC-ARA : SysC_CSwSPSA / 82.0.0</t>
  </si>
  <si>
    <t>RQONE04840363</t>
  </si>
  <si>
    <t>FC-ARA : VehC_CSwSPSA / 82.0.0</t>
  </si>
  <si>
    <t>RQONE04827894</t>
  </si>
  <si>
    <t>Auffälligkeit NOx Counterdiagnose - Analysis - Support</t>
  </si>
  <si>
    <t>Dogan Sinan (PS-SC/ECV3) (DOS1WI)</t>
  </si>
  <si>
    <t>BM-00069361_007  IN-EA</t>
  </si>
  <si>
    <t>RQONE04832935</t>
  </si>
  <si>
    <t>RQONE04832937</t>
  </si>
  <si>
    <t>RQONE04832940</t>
  </si>
  <si>
    <t>RQONE04832942</t>
  </si>
  <si>
    <t>RQONE04837416</t>
  </si>
  <si>
    <t>Testcase - RQONE04632981 - LAH.4N0.907.BR Buseigendiagnose V2.0 -  FB E1 Summenfehlerbildung (KD) - Aufteilung Plaus in CRC und BSZ Fehle -  MQBw_baseline</t>
  </si>
  <si>
    <t>RQONE04837897</t>
  </si>
  <si>
    <t>Test Execution - ##[LB74x PA] New PWT dbc CAN implementation#39-2025#2923971#2923971</t>
  </si>
  <si>
    <t>RQONE04837898</t>
  </si>
  <si>
    <t>Change Request Evaluation FD - ##[LB74x PA] New PWT dbc CAN implementation#39-2025#2923971#2923971</t>
  </si>
  <si>
    <t>RQONE04837899</t>
  </si>
  <si>
    <t>Implementation - ##[LB74x PA] New PWT dbc CAN implementation#39-2025#2923971#2923971</t>
  </si>
  <si>
    <t>RQONE04837901</t>
  </si>
  <si>
    <t>Review of Implementation - ##[LB74x PA] New PWT dbc CAN implementation#39-2025#2923971#2923971</t>
  </si>
  <si>
    <t>RQONE04839023</t>
  </si>
  <si>
    <t>BCI</t>
  </si>
  <si>
    <t>BC : ComVeh / 609.46.0 artefacts process revie</t>
  </si>
  <si>
    <t>Nguyen Vuu Huy Hoang (MS/EPC42-PS) (GHO3HC)</t>
  </si>
  <si>
    <t>RQONE04839028</t>
  </si>
  <si>
    <t>BC Artefacts review - BC : ComVeh / 609.46.0</t>
  </si>
  <si>
    <t>RQONE04839031</t>
  </si>
  <si>
    <t>BC documentation - BC : ComVeh / 609.46.0</t>
  </si>
  <si>
    <t>RQONE04839032</t>
  </si>
  <si>
    <t>BC packaging - BC : ComVeh / 609.46.0</t>
  </si>
  <si>
    <r>
      <t>RQONE04325480</t>
    </r>
    <r>
      <rPr>
        <sz val="10"/>
        <rFont val="Arial"/>
      </rPr>
      <t xml:space="preserve">
Vo Van Chinh (MS/EPC42-PS)</t>
    </r>
  </si>
  <si>
    <r>
      <t>RQONE04657221</t>
    </r>
    <r>
      <rPr>
        <sz val="10"/>
        <rFont val="Arial"/>
      </rPr>
      <t xml:space="preserve">
Truong Van Ngoc Em (MS/EPC42-PS)</t>
    </r>
  </si>
  <si>
    <r>
      <t>RQONE04791561</t>
    </r>
    <r>
      <rPr>
        <sz val="10"/>
        <rFont val="Arial"/>
      </rPr>
      <t xml:space="preserve">
Nguyen Ba Vu Thach (MS/EPC42-PS)</t>
    </r>
  </si>
  <si>
    <r>
      <t>RQONE04822653</t>
    </r>
    <r>
      <rPr>
        <sz val="10"/>
        <rFont val="Arial"/>
      </rPr>
      <t xml:space="preserve">
Truong Van Ngoc Em (MS/EPC42-PS)</t>
    </r>
  </si>
  <si>
    <r>
      <t>RQONE04837367</t>
    </r>
    <r>
      <rPr>
        <sz val="10"/>
        <rFont val="Arial"/>
      </rPr>
      <t xml:space="preserve">
Truong Van Ngoc Em (MS/EPC42-PS)</t>
    </r>
  </si>
  <si>
    <r>
      <t>RQONE04837374</t>
    </r>
    <r>
      <rPr>
        <sz val="10"/>
        <rFont val="Arial"/>
      </rPr>
      <t xml:space="preserve">
Truong Van Ngoc Em (MS/EPC42-PS)</t>
    </r>
  </si>
  <si>
    <r>
      <t>RQONE04837592</t>
    </r>
    <r>
      <rPr>
        <sz val="10"/>
        <rFont val="Arial"/>
      </rPr>
      <t xml:space="preserve">
Khuat Duy Nguyen (MS/EPC42-PS)</t>
    </r>
  </si>
  <si>
    <r>
      <t>RQONE04623826</t>
    </r>
    <r>
      <rPr>
        <sz val="10"/>
        <rFont val="Arial"/>
      </rPr>
      <t xml:space="preserve">
Le Do Nguyen Chuong (MS/EPC42-PS)
11/7/2025</t>
    </r>
  </si>
  <si>
    <r>
      <t>RQONE04631624</t>
    </r>
    <r>
      <rPr>
        <sz val="10"/>
        <rFont val="Arial"/>
      </rPr>
      <t xml:space="preserve">
Dao Phi Duong (MS/EPC42-PS)
12/31/2025</t>
    </r>
  </si>
  <si>
    <r>
      <t>RQONE04631754</t>
    </r>
    <r>
      <rPr>
        <sz val="10"/>
        <rFont val="Arial"/>
      </rPr>
      <t xml:space="preserve">
Bui Sy Quan (MS/EPC42-PS)
12/31/2025</t>
    </r>
  </si>
  <si>
    <r>
      <t>RQONE04631877</t>
    </r>
    <r>
      <rPr>
        <sz val="10"/>
        <rFont val="Arial"/>
      </rPr>
      <t xml:space="preserve">
Bui Sy Quan (MS/EPC42-PS)
12/31/2025</t>
    </r>
  </si>
  <si>
    <r>
      <t>RQONE04632283</t>
    </r>
    <r>
      <rPr>
        <sz val="10"/>
        <rFont val="Arial"/>
      </rPr>
      <t xml:space="preserve">
Bui Sy Quan (MS/EPC42-PS)
12/31/2025</t>
    </r>
  </si>
  <si>
    <r>
      <t>RQONE04632967</t>
    </r>
    <r>
      <rPr>
        <sz val="10"/>
        <rFont val="Arial"/>
      </rPr>
      <t xml:space="preserve">
Bui Sy Quan (MS/EPC42-PS)
12/31/2025</t>
    </r>
  </si>
  <si>
    <r>
      <t>RQONE04633073</t>
    </r>
    <r>
      <rPr>
        <sz val="10"/>
        <rFont val="Arial"/>
      </rPr>
      <t xml:space="preserve">
Dao Phi Duong (MS/EPC42-PS)
12/31/2025</t>
    </r>
  </si>
  <si>
    <r>
      <t>RQONE04633219</t>
    </r>
    <r>
      <rPr>
        <sz val="10"/>
        <rFont val="Arial"/>
      </rPr>
      <t xml:space="preserve">
Dao Phi Duong (MS/EPC42-PS)
12/31/2025</t>
    </r>
  </si>
  <si>
    <r>
      <t>RQONE04633236</t>
    </r>
    <r>
      <rPr>
        <sz val="10"/>
        <rFont val="Arial"/>
      </rPr>
      <t xml:space="preserve">
Dao Phi Duong (MS/EPC42-PS)
12/31/2025</t>
    </r>
  </si>
  <si>
    <r>
      <t>RQONE04633264</t>
    </r>
    <r>
      <rPr>
        <sz val="10"/>
        <rFont val="Arial"/>
      </rPr>
      <t xml:space="preserve">
Dao Phi Duong (MS/EPC42-PS)
12/31/2025</t>
    </r>
  </si>
  <si>
    <r>
      <t>RQONE04633778</t>
    </r>
    <r>
      <rPr>
        <sz val="10"/>
        <rFont val="Arial"/>
      </rPr>
      <t xml:space="preserve">
Bui Sy Quan (MS/EPC42-PS)
12/31/2025</t>
    </r>
  </si>
  <si>
    <r>
      <t>RQONE04633943</t>
    </r>
    <r>
      <rPr>
        <sz val="10"/>
        <rFont val="Arial"/>
      </rPr>
      <t xml:space="preserve">
Bui Sy Quan (MS/EPC42-PS)
12/31/2025</t>
    </r>
  </si>
  <si>
    <r>
      <t>RQONE04634814</t>
    </r>
    <r>
      <rPr>
        <sz val="10"/>
        <rFont val="Arial"/>
      </rPr>
      <t xml:space="preserve">
Bui Sy Quan (MS/EPC42-PS)
12/31/2025</t>
    </r>
  </si>
  <si>
    <r>
      <t>RQONE04634850</t>
    </r>
    <r>
      <rPr>
        <sz val="10"/>
        <rFont val="Arial"/>
      </rPr>
      <t xml:space="preserve">
Bui Sy Quan (MS/EPC42-PS)
12/31/2025</t>
    </r>
  </si>
  <si>
    <r>
      <t>RQONE04634875</t>
    </r>
    <r>
      <rPr>
        <sz val="10"/>
        <rFont val="Arial"/>
      </rPr>
      <t xml:space="preserve">
Bui Sy Quan (MS/EPC42-PS)
12/31/2025</t>
    </r>
  </si>
  <si>
    <r>
      <t>RQONE04634883</t>
    </r>
    <r>
      <rPr>
        <sz val="10"/>
        <rFont val="Arial"/>
      </rPr>
      <t xml:space="preserve">
Bui Sy Quan (MS/EPC42-PS)
12/31/2025</t>
    </r>
  </si>
  <si>
    <r>
      <t>RQONE04635619</t>
    </r>
    <r>
      <rPr>
        <sz val="10"/>
        <rFont val="Arial"/>
      </rPr>
      <t xml:space="preserve">
Bui Sy Quan (MS/EPC42-PS)
12/31/2025</t>
    </r>
  </si>
  <si>
    <r>
      <t>RQONE04635701</t>
    </r>
    <r>
      <rPr>
        <sz val="10"/>
        <rFont val="Arial"/>
      </rPr>
      <t xml:space="preserve">
Bui Sy Quan (MS/EPC42-PS)
12/31/2025</t>
    </r>
  </si>
  <si>
    <r>
      <t>RQONE04635794</t>
    </r>
    <r>
      <rPr>
        <sz val="10"/>
        <rFont val="Arial"/>
      </rPr>
      <t xml:space="preserve">
Bui Sy Quan (MS/EPC42-PS)
12/31/2025</t>
    </r>
  </si>
  <si>
    <r>
      <t>RQONE04635904</t>
    </r>
    <r>
      <rPr>
        <sz val="10"/>
        <rFont val="Arial"/>
      </rPr>
      <t xml:space="preserve">
Bui Sy Quan (MS/EPC42-PS)
12/31/2025</t>
    </r>
  </si>
  <si>
    <r>
      <t>RQONE04636135</t>
    </r>
    <r>
      <rPr>
        <sz val="10"/>
        <rFont val="Arial"/>
      </rPr>
      <t xml:space="preserve">
Bui Sy Quan (MS/EPC42-PS)
12/31/2025</t>
    </r>
  </si>
  <si>
    <r>
      <t>RQONE04636188</t>
    </r>
    <r>
      <rPr>
        <sz val="10"/>
        <rFont val="Arial"/>
      </rPr>
      <t xml:space="preserve">
Dao Phi Duong (MS/EPC42-PS)
12/31/2025</t>
    </r>
  </si>
  <si>
    <r>
      <t>RQONE04636224</t>
    </r>
    <r>
      <rPr>
        <sz val="10"/>
        <rFont val="Arial"/>
      </rPr>
      <t xml:space="preserve">
Dao Phi Duong (MS/EPC42-PS)
12/31/2025</t>
    </r>
  </si>
  <si>
    <r>
      <t>RQONE04636346</t>
    </r>
    <r>
      <rPr>
        <sz val="10"/>
        <rFont val="Arial"/>
      </rPr>
      <t xml:space="preserve">
Bui Sy Quan (MS/EPC42-PS)
12/31/2025</t>
    </r>
  </si>
  <si>
    <r>
      <t>RQONE04636366</t>
    </r>
    <r>
      <rPr>
        <sz val="10"/>
        <rFont val="Arial"/>
      </rPr>
      <t xml:space="preserve">
Dao Phi Duong (MS/EPC42-PS)
12/31/2025</t>
    </r>
  </si>
  <si>
    <r>
      <t>RQONE04636370</t>
    </r>
    <r>
      <rPr>
        <sz val="10"/>
        <rFont val="Arial"/>
      </rPr>
      <t xml:space="preserve">
Dao Phi Duong (MS/EPC42-PS)
12/31/2025</t>
    </r>
  </si>
  <si>
    <r>
      <t>RQONE04636383</t>
    </r>
    <r>
      <rPr>
        <sz val="10"/>
        <rFont val="Arial"/>
      </rPr>
      <t xml:space="preserve">
Dao Phi Duong (MS/EPC42-PS)
12/31/2025</t>
    </r>
  </si>
  <si>
    <r>
      <t>RQONE04636398</t>
    </r>
    <r>
      <rPr>
        <sz val="10"/>
        <rFont val="Arial"/>
      </rPr>
      <t xml:space="preserve">
Dao Phi Duong (MS/EPC42-PS)
12/31/2025</t>
    </r>
  </si>
  <si>
    <r>
      <t>RQONE04636415</t>
    </r>
    <r>
      <rPr>
        <sz val="10"/>
        <rFont val="Arial"/>
      </rPr>
      <t xml:space="preserve">
Dao Phi Duong (MS/EPC42-PS)
12/31/2025</t>
    </r>
  </si>
  <si>
    <r>
      <t>RQONE04636423</t>
    </r>
    <r>
      <rPr>
        <sz val="10"/>
        <rFont val="Arial"/>
      </rPr>
      <t xml:space="preserve">
Dao Phi Duong (MS/EPC42-PS)
12/31/2025</t>
    </r>
  </si>
  <si>
    <r>
      <t>RQONE04636727</t>
    </r>
    <r>
      <rPr>
        <sz val="10"/>
        <rFont val="Arial"/>
      </rPr>
      <t xml:space="preserve">
Bui Sy Quan (MS/EPC42-PS)
12/31/2025</t>
    </r>
  </si>
  <si>
    <r>
      <t>RQONE04636728</t>
    </r>
    <r>
      <rPr>
        <sz val="10"/>
        <rFont val="Arial"/>
      </rPr>
      <t xml:space="preserve">
Bui Sy Quan (MS/EPC42-PS)
12/31/2025</t>
    </r>
  </si>
  <si>
    <r>
      <t>RQONE04636729</t>
    </r>
    <r>
      <rPr>
        <sz val="10"/>
        <rFont val="Arial"/>
      </rPr>
      <t xml:space="preserve">
Bui Sy Quan (MS/EPC42-PS)
12/31/2025</t>
    </r>
  </si>
  <si>
    <r>
      <t>RQONE04636790</t>
    </r>
    <r>
      <rPr>
        <sz val="10"/>
        <rFont val="Arial"/>
      </rPr>
      <t xml:space="preserve">
Dao Phi Duong (MS/EPC42-PS)
12/31/2025</t>
    </r>
  </si>
  <si>
    <r>
      <t>RQONE04636792</t>
    </r>
    <r>
      <rPr>
        <sz val="10"/>
        <rFont val="Arial"/>
      </rPr>
      <t xml:space="preserve">
Dao Phi Duong (MS/EPC42-PS)
12/31/2025</t>
    </r>
  </si>
  <si>
    <r>
      <t>RQONE04636793</t>
    </r>
    <r>
      <rPr>
        <sz val="10"/>
        <rFont val="Arial"/>
      </rPr>
      <t xml:space="preserve">
Dao Phi Duong (MS/EPC42-PS)
12/31/2025</t>
    </r>
  </si>
  <si>
    <r>
      <t>RQONE04636809</t>
    </r>
    <r>
      <rPr>
        <sz val="10"/>
        <rFont val="Arial"/>
      </rPr>
      <t xml:space="preserve">
Dao Phi Duong (MS/EPC42-PS)
12/31/2025</t>
    </r>
  </si>
  <si>
    <r>
      <t>RQONE04636811</t>
    </r>
    <r>
      <rPr>
        <sz val="10"/>
        <rFont val="Arial"/>
      </rPr>
      <t xml:space="preserve">
Dao Phi Duong (MS/EPC42-PS)
12/31/2025</t>
    </r>
  </si>
  <si>
    <r>
      <t>RQONE04636812</t>
    </r>
    <r>
      <rPr>
        <sz val="10"/>
        <rFont val="Arial"/>
      </rPr>
      <t xml:space="preserve">
Dao Phi Duong (MS/EPC42-PS)
12/31/2025</t>
    </r>
  </si>
  <si>
    <r>
      <t>RQONE04636821</t>
    </r>
    <r>
      <rPr>
        <sz val="10"/>
        <rFont val="Arial"/>
      </rPr>
      <t xml:space="preserve">
Dao Phi Duong (MS/EPC42-PS)
12/31/2025</t>
    </r>
  </si>
  <si>
    <r>
      <t>RQONE04636823</t>
    </r>
    <r>
      <rPr>
        <sz val="10"/>
        <rFont val="Arial"/>
      </rPr>
      <t xml:space="preserve">
Dao Phi Duong (MS/EPC42-PS)
12/31/2025</t>
    </r>
  </si>
  <si>
    <r>
      <t>RQONE04639679</t>
    </r>
    <r>
      <rPr>
        <sz val="10"/>
        <rFont val="Arial"/>
      </rPr>
      <t xml:space="preserve">
Nguyen Van Tien (MS/EPS21-SWC)
12/31/2025</t>
    </r>
  </si>
  <si>
    <r>
      <t>RQONE04640165</t>
    </r>
    <r>
      <rPr>
        <sz val="10"/>
        <rFont val="Arial"/>
      </rPr>
      <t xml:space="preserve">
Nguyen Van Tien (MS/EPS21-SWC)
12/31/2025</t>
    </r>
  </si>
  <si>
    <r>
      <t>RQONE04641536</t>
    </r>
    <r>
      <rPr>
        <sz val="10"/>
        <rFont val="Arial"/>
      </rPr>
      <t xml:space="preserve">
Nguyen Van Tien (MS/EPS21-SWC)
12/31/2025</t>
    </r>
  </si>
  <si>
    <r>
      <t>RQONE04642631</t>
    </r>
    <r>
      <rPr>
        <sz val="10"/>
        <rFont val="Arial"/>
      </rPr>
      <t xml:space="preserve">
Nguyen Van Tien (MS/EPS21-SWC)
12/31/2025</t>
    </r>
  </si>
  <si>
    <r>
      <t>RQONE04642705</t>
    </r>
    <r>
      <rPr>
        <sz val="10"/>
        <rFont val="Arial"/>
      </rPr>
      <t xml:space="preserve">
Nguyen Van Tien (MS/EPS21-SWC)
12/31/2025</t>
    </r>
  </si>
  <si>
    <r>
      <t>RQONE04642755</t>
    </r>
    <r>
      <rPr>
        <sz val="10"/>
        <rFont val="Arial"/>
      </rPr>
      <t xml:space="preserve">
Nguyen Van Tien (MS/EPS21-SWC)
12/31/2025</t>
    </r>
  </si>
  <si>
    <r>
      <t>RQONE04642772</t>
    </r>
    <r>
      <rPr>
        <sz val="10"/>
        <rFont val="Arial"/>
      </rPr>
      <t xml:space="preserve">
Nguyen Van Tien (MS/EPS21-SWC)
12/31/2025</t>
    </r>
  </si>
  <si>
    <r>
      <t>RQONE04642803</t>
    </r>
    <r>
      <rPr>
        <sz val="10"/>
        <rFont val="Arial"/>
      </rPr>
      <t xml:space="preserve">
Nguyen Van Tien (MS/EPS21-SWC)
12/31/2025</t>
    </r>
  </si>
  <si>
    <r>
      <t>RQONE04642852</t>
    </r>
    <r>
      <rPr>
        <sz val="10"/>
        <rFont val="Arial"/>
      </rPr>
      <t xml:space="preserve">
Nguyen Van Tien (MS/EPS21-SWC)
12/31/2025</t>
    </r>
  </si>
  <si>
    <r>
      <t>RQONE04642864</t>
    </r>
    <r>
      <rPr>
        <sz val="10"/>
        <rFont val="Arial"/>
      </rPr>
      <t xml:space="preserve">
Nguyen Van Tien (MS/EPS21-SWC)
12/31/2025</t>
    </r>
  </si>
  <si>
    <r>
      <t>RQONE04642968</t>
    </r>
    <r>
      <rPr>
        <sz val="10"/>
        <rFont val="Arial"/>
      </rPr>
      <t xml:space="preserve">
Nguyen Van Tien (MS/EPS21-SWC)
12/31/2025</t>
    </r>
  </si>
  <si>
    <r>
      <t>RQONE04642986</t>
    </r>
    <r>
      <rPr>
        <sz val="10"/>
        <rFont val="Arial"/>
      </rPr>
      <t xml:space="preserve">
Nguyen Van Tien (MS/EPS21-SWC)
12/31/2025</t>
    </r>
  </si>
  <si>
    <r>
      <t>RQONE04643002</t>
    </r>
    <r>
      <rPr>
        <sz val="10"/>
        <rFont val="Arial"/>
      </rPr>
      <t xml:space="preserve">
Nguyen Van Tien (MS/EPS21-SWC)
12/31/2025</t>
    </r>
  </si>
  <si>
    <r>
      <t>RQONE04644851</t>
    </r>
    <r>
      <rPr>
        <sz val="10"/>
        <rFont val="Arial"/>
      </rPr>
      <t xml:space="preserve">
Nguyen Van Tien (MS/EPS21-SWC)
12/31/2025</t>
    </r>
  </si>
  <si>
    <r>
      <t>RQONE04646065</t>
    </r>
    <r>
      <rPr>
        <sz val="10"/>
        <rFont val="Arial"/>
      </rPr>
      <t xml:space="preserve">
Dao Phi Duong (MS/EPC42-PS)
12/31/2025</t>
    </r>
  </si>
  <si>
    <r>
      <t>RQONE04646092</t>
    </r>
    <r>
      <rPr>
        <sz val="10"/>
        <rFont val="Arial"/>
      </rPr>
      <t xml:space="preserve">
Dao Phi Duong (MS/EPC42-PS)
12/31/2025</t>
    </r>
  </si>
  <si>
    <r>
      <t>RQONE04646565</t>
    </r>
    <r>
      <rPr>
        <sz val="10"/>
        <rFont val="Arial"/>
      </rPr>
      <t xml:space="preserve">
Dao Phi Duong (MS/EPC42-PS)
12/31/2025</t>
    </r>
  </si>
  <si>
    <r>
      <t>RQONE04646592</t>
    </r>
    <r>
      <rPr>
        <sz val="10"/>
        <rFont val="Arial"/>
      </rPr>
      <t xml:space="preserve">
Dao Phi Duong (MS/EPC42-PS)
12/31/2025</t>
    </r>
  </si>
  <si>
    <r>
      <t>RQONE04646620</t>
    </r>
    <r>
      <rPr>
        <sz val="10"/>
        <rFont val="Arial"/>
      </rPr>
      <t xml:space="preserve">
Dao Phi Duong (MS/EPC42-PS)
12/31/2025</t>
    </r>
  </si>
  <si>
    <r>
      <t>RQONE04646651</t>
    </r>
    <r>
      <rPr>
        <sz val="10"/>
        <rFont val="Arial"/>
      </rPr>
      <t xml:space="preserve">
Dao Phi Duong (MS/EPC42-PS)
12/31/2025</t>
    </r>
  </si>
  <si>
    <r>
      <t>RQONE04646685</t>
    </r>
    <r>
      <rPr>
        <sz val="10"/>
        <rFont val="Arial"/>
      </rPr>
      <t xml:space="preserve">
Dao Phi Duong (MS/EPC42-PS)
12/31/2025</t>
    </r>
  </si>
  <si>
    <r>
      <t>RQONE04646731</t>
    </r>
    <r>
      <rPr>
        <sz val="10"/>
        <rFont val="Arial"/>
      </rPr>
      <t xml:space="preserve">
Dao Phi Duong (MS/EPC42-PS)
12/31/2025</t>
    </r>
  </si>
  <si>
    <r>
      <t>RQONE04646763</t>
    </r>
    <r>
      <rPr>
        <sz val="10"/>
        <rFont val="Arial"/>
      </rPr>
      <t xml:space="preserve">
Dao Phi Duong (MS/EPC42-PS)
12/31/2025</t>
    </r>
  </si>
  <si>
    <r>
      <t>RQONE04646883</t>
    </r>
    <r>
      <rPr>
        <sz val="10"/>
        <rFont val="Arial"/>
      </rPr>
      <t xml:space="preserve">
Dao Phi Duong (MS/EPC42-PS)
12/31/2025</t>
    </r>
  </si>
  <si>
    <r>
      <t>RQONE04646919</t>
    </r>
    <r>
      <rPr>
        <sz val="10"/>
        <rFont val="Arial"/>
      </rPr>
      <t xml:space="preserve">
Le Do Nguyen Chuong (MS/EPC42-PS)
12/31/2025</t>
    </r>
  </si>
  <si>
    <r>
      <t>RQONE04646923</t>
    </r>
    <r>
      <rPr>
        <sz val="10"/>
        <rFont val="Arial"/>
      </rPr>
      <t xml:space="preserve">
Dao Phi Duong (MS/EPC42-PS)
12/31/2025</t>
    </r>
  </si>
  <si>
    <r>
      <t>RQONE04646952</t>
    </r>
    <r>
      <rPr>
        <sz val="10"/>
        <rFont val="Arial"/>
      </rPr>
      <t xml:space="preserve">
Dao Phi Duong (MS/EPC42-PS)
12/31/2025</t>
    </r>
  </si>
  <si>
    <r>
      <t>RQONE04646995</t>
    </r>
    <r>
      <rPr>
        <sz val="10"/>
        <rFont val="Arial"/>
      </rPr>
      <t xml:space="preserve">
Dao Phi Duong (MS/EPC42-PS)
12/31/2025</t>
    </r>
  </si>
  <si>
    <r>
      <t>RQONE04648076</t>
    </r>
    <r>
      <rPr>
        <sz val="10"/>
        <rFont val="Arial"/>
      </rPr>
      <t xml:space="preserve">
Le Do Nguyen Chuong (MS/EPC42-PS)
12/31/2025</t>
    </r>
  </si>
  <si>
    <r>
      <t>RQONE04726157</t>
    </r>
    <r>
      <rPr>
        <sz val="10"/>
        <rFont val="Arial"/>
      </rPr>
      <t xml:space="preserve">
Dao Phi Duong (MS/EPC42-PS)
12/31/2025</t>
    </r>
  </si>
  <si>
    <r>
      <t>RQONE04732719</t>
    </r>
    <r>
      <rPr>
        <sz val="10"/>
        <rFont val="Arial"/>
      </rPr>
      <t xml:space="preserve">
Dao Phi Duong (MS/EPC42-PS)
12/31/2025</t>
    </r>
  </si>
  <si>
    <r>
      <t>RQONE04738782</t>
    </r>
    <r>
      <rPr>
        <sz val="10"/>
        <rFont val="Arial"/>
      </rPr>
      <t xml:space="preserve">
Dao Phi Duong (MS/EPC42-PS)
12/31/2025</t>
    </r>
  </si>
  <si>
    <r>
      <t>RQONE04772033</t>
    </r>
    <r>
      <rPr>
        <sz val="10"/>
        <rFont val="Arial"/>
      </rPr>
      <t xml:space="preserve">
Bui Sy Quan (MS/EPC42-PS)
12/31/2025</t>
    </r>
  </si>
  <si>
    <r>
      <t>RQONE04773829</t>
    </r>
    <r>
      <rPr>
        <sz val="10"/>
        <rFont val="Arial"/>
      </rPr>
      <t xml:space="preserve">
Bui Sy Quan (MS/EPC42-PS)
12/31/2025</t>
    </r>
  </si>
  <si>
    <r>
      <t>RQONE04774044</t>
    </r>
    <r>
      <rPr>
        <sz val="10"/>
        <rFont val="Arial"/>
      </rPr>
      <t xml:space="preserve">
Bui Sy Quan (MS/EPC42-PS)
12/31/2025</t>
    </r>
  </si>
  <si>
    <r>
      <t>RQONE04774170</t>
    </r>
    <r>
      <rPr>
        <sz val="10"/>
        <rFont val="Arial"/>
      </rPr>
      <t xml:space="preserve">
Bui Sy Quan (MS/EPC42-PS)
12/31/2025</t>
    </r>
  </si>
  <si>
    <r>
      <t>RQONE04774230</t>
    </r>
    <r>
      <rPr>
        <sz val="10"/>
        <rFont val="Arial"/>
      </rPr>
      <t xml:space="preserve">
Bui Sy Quan (MS/EPC42-PS)
12/31/2025</t>
    </r>
  </si>
  <si>
    <r>
      <t>RQONE04774254</t>
    </r>
    <r>
      <rPr>
        <sz val="10"/>
        <rFont val="Arial"/>
      </rPr>
      <t xml:space="preserve">
Bui Sy Quan (MS/EPC42-PS)
12/31/2025</t>
    </r>
  </si>
  <si>
    <r>
      <t>RQONE04774269</t>
    </r>
    <r>
      <rPr>
        <sz val="10"/>
        <rFont val="Arial"/>
      </rPr>
      <t xml:space="preserve">
Bui Sy Quan (MS/EPC42-PS)
12/31/2025</t>
    </r>
  </si>
  <si>
    <r>
      <t>RQONE04774327</t>
    </r>
    <r>
      <rPr>
        <sz val="10"/>
        <rFont val="Arial"/>
      </rPr>
      <t xml:space="preserve">
Bui Sy Quan (MS/EPC42-PS)
12/31/2025</t>
    </r>
  </si>
  <si>
    <r>
      <t>RQONE04774414</t>
    </r>
    <r>
      <rPr>
        <sz val="10"/>
        <rFont val="Arial"/>
      </rPr>
      <t xml:space="preserve">
Dao Phi Duong (MS/EPC42-PS)
12/31/2025</t>
    </r>
  </si>
  <si>
    <r>
      <t>RQONE04774458</t>
    </r>
    <r>
      <rPr>
        <sz val="10"/>
        <rFont val="Arial"/>
      </rPr>
      <t xml:space="preserve">
Dao Phi Duong (MS/EPC42-PS)
12/31/2025</t>
    </r>
  </si>
  <si>
    <r>
      <t>RQONE04774468</t>
    </r>
    <r>
      <rPr>
        <sz val="10"/>
        <rFont val="Arial"/>
      </rPr>
      <t xml:space="preserve">
Dao Phi Duong (MS/EPC42-PS)
12/31/2025</t>
    </r>
  </si>
  <si>
    <r>
      <t>RQONE04774477</t>
    </r>
    <r>
      <rPr>
        <sz val="10"/>
        <rFont val="Arial"/>
      </rPr>
      <t xml:space="preserve">
Dao Phi Duong (MS/EPC42-PS)
12/31/2025</t>
    </r>
  </si>
  <si>
    <r>
      <t>RQONE04774493</t>
    </r>
    <r>
      <rPr>
        <sz val="10"/>
        <rFont val="Arial"/>
      </rPr>
      <t xml:space="preserve">
Dao Phi Duong (MS/EPC42-PS)
12/31/2025</t>
    </r>
  </si>
  <si>
    <r>
      <t>RQONE04774564</t>
    </r>
    <r>
      <rPr>
        <sz val="10"/>
        <rFont val="Arial"/>
      </rPr>
      <t xml:space="preserve">
Dao Phi Duong (MS/EPC42-PS)
12/31/2025</t>
    </r>
  </si>
  <si>
    <r>
      <t>RQONE04779522</t>
    </r>
    <r>
      <rPr>
        <sz val="10"/>
        <rFont val="Arial"/>
      </rPr>
      <t xml:space="preserve">
Le Do Nguyen Chuong (MS/EPC42-PS)
12/31/2025</t>
    </r>
  </si>
  <si>
    <r>
      <t>RQONE04780733</t>
    </r>
    <r>
      <rPr>
        <sz val="10"/>
        <rFont val="Arial"/>
      </rPr>
      <t xml:space="preserve">
Dao Phi Duong (MS/EPC42-PS)
12/31/2025</t>
    </r>
  </si>
  <si>
    <r>
      <t>RQONE04783238</t>
    </r>
    <r>
      <rPr>
        <sz val="10"/>
        <rFont val="Arial"/>
      </rPr>
      <t xml:space="preserve">
Le Do Nguyen Chuong (MS/EPC42-PS)
12/31/2025</t>
    </r>
  </si>
  <si>
    <r>
      <t>RQONE04839372</t>
    </r>
    <r>
      <rPr>
        <sz val="10"/>
        <rFont val="Arial"/>
      </rPr>
      <t xml:space="preserve">
Bui Sy Quan (MS/EPC42-PS)
1/23/2026</t>
    </r>
  </si>
  <si>
    <r>
      <t>RQONE04839838</t>
    </r>
    <r>
      <rPr>
        <sz val="10"/>
        <rFont val="Arial"/>
      </rPr>
      <t xml:space="preserve">
Bui Sy Quan (MS/EPC42-PS)
1/23/2026</t>
    </r>
  </si>
  <si>
    <r>
      <t>RQONE04839844</t>
    </r>
    <r>
      <rPr>
        <sz val="10"/>
        <rFont val="Arial"/>
      </rPr>
      <t xml:space="preserve">
Bui Sy Quan (MS/EPC42-PS)
1/23/2026</t>
    </r>
  </si>
  <si>
    <r>
      <t>RQONE04840319</t>
    </r>
    <r>
      <rPr>
        <sz val="10"/>
        <rFont val="Arial"/>
      </rPr>
      <t xml:space="preserve">
Bui Sy Quan (MS/EPC42-PS)
1/23/2026</t>
    </r>
  </si>
  <si>
    <r>
      <t>RQONE04840341</t>
    </r>
    <r>
      <rPr>
        <sz val="10"/>
        <rFont val="Arial"/>
      </rPr>
      <t xml:space="preserve">
Bui Sy Quan (MS/EPC42-PS)
1/23/2026</t>
    </r>
  </si>
  <si>
    <r>
      <t>RQONE04840363</t>
    </r>
    <r>
      <rPr>
        <sz val="10"/>
        <rFont val="Arial"/>
      </rPr>
      <t xml:space="preserve">
Bui Sy Quan (MS/EPC42-PS)
1/23/2026</t>
    </r>
  </si>
  <si>
    <r>
      <t>RQONE04778136</t>
    </r>
    <r>
      <rPr>
        <sz val="10"/>
        <rFont val="Arial"/>
      </rPr>
      <t xml:space="preserve">
Dao Phi Duong (MS/EPC42-PS)
11/21/2025</t>
    </r>
  </si>
  <si>
    <r>
      <t>RQONE04778177</t>
    </r>
    <r>
      <rPr>
        <sz val="10"/>
        <rFont val="Arial"/>
      </rPr>
      <t xml:space="preserve">
Dao Phi Duong (MS/EPC42-PS)
11/21/2025</t>
    </r>
  </si>
  <si>
    <r>
      <t>RQONE04778187</t>
    </r>
    <r>
      <rPr>
        <sz val="10"/>
        <rFont val="Arial"/>
      </rPr>
      <t xml:space="preserve">
Dao Phi Duong (MS/EPC42-PS)
11/21/2025</t>
    </r>
  </si>
  <si>
    <r>
      <t>RQONE04814104</t>
    </r>
    <r>
      <rPr>
        <sz val="10"/>
        <rFont val="Arial"/>
      </rPr>
      <t xml:space="preserve">
Dao Phi Duong (MS/EPC42-PS)
11/21/2025</t>
    </r>
  </si>
  <si>
    <r>
      <t>RQONE04832942</t>
    </r>
    <r>
      <rPr>
        <sz val="10"/>
        <rFont val="Arial"/>
      </rPr>
      <t xml:space="preserve">
Nguyen Anh Khoa (MS/EPC42-PS)
</t>
    </r>
  </si>
  <si>
    <r>
      <t>RQONE04837416</t>
    </r>
    <r>
      <rPr>
        <sz val="10"/>
        <rFont val="Arial"/>
      </rPr>
      <t xml:space="preserve">
Huynh Quoc Hoang (MS/EPC42-PS)
12/31/2025</t>
    </r>
  </si>
  <si>
    <t>RQONE04410579</t>
  </si>
  <si>
    <t>LAH.DUM.910.C.1 Knockout von Steuergeraeten V1.3 - Mapping MQB</t>
  </si>
  <si>
    <t>RQONE04841849</t>
  </si>
  <si>
    <t>[ECS3103] 01552_25_02268_v2.1</t>
  </si>
  <si>
    <t>RQONE04844440</t>
  </si>
  <si>
    <t>Korrektur Aufsplittung PLAUS in CS und CNT Fehler für LIN Diagnosen</t>
  </si>
  <si>
    <t xml:space="preserve">16. All fields in Defect Flow Model are not filled
</t>
  </si>
  <si>
    <t>RQONE04846087</t>
  </si>
  <si>
    <t>MDG1MFEVO: A92326 - Aktive Entlüftung - Kriechfunktion (EngM)</t>
  </si>
  <si>
    <t>Schock Markus (PS-SC/ECX3) (cam2si)</t>
  </si>
  <si>
    <t>BM-00055834_025</t>
  </si>
  <si>
    <t>RQONE04846915</t>
  </si>
  <si>
    <t>01552_22_04074_v28.0</t>
  </si>
  <si>
    <t>BC : ComVeh / 609.38.0_3.0.0</t>
  </si>
  <si>
    <t>RQONE04842394</t>
  </si>
  <si>
    <t>BC : Oil / 103.0.0</t>
  </si>
  <si>
    <t>RQONE04842518</t>
  </si>
  <si>
    <t>BC : EngTmr / 118.1.0</t>
  </si>
  <si>
    <t>RQONE04843969</t>
  </si>
  <si>
    <t>BC : ComVeh / 709.41.0</t>
  </si>
  <si>
    <t>RQONE04843989</t>
  </si>
  <si>
    <t>FC-ARA : AirDvP_CSwSPSA / 82.0.0</t>
  </si>
  <si>
    <t>RQONE04843990</t>
  </si>
  <si>
    <t>FC-ARA : DiaBas_CSwSPSA / 82.0.0</t>
  </si>
  <si>
    <t>RQONE04843995</t>
  </si>
  <si>
    <t>BC : ComVeh / 504.40.0</t>
  </si>
  <si>
    <t>RQONE04844094</t>
  </si>
  <si>
    <t>FC-ARA : API_DELib_SwSPSA / 82.0.0</t>
  </si>
  <si>
    <t>RQONE04844099</t>
  </si>
  <si>
    <t>FC-ARA : ComVeh_CSwSPSA / 82.0.0</t>
  </si>
  <si>
    <t>RQONE04844108</t>
  </si>
  <si>
    <t>FC-ARA : DrAs_SwSPSA / 82.0.0</t>
  </si>
  <si>
    <t>RQONE04844144</t>
  </si>
  <si>
    <t>FC-ARA : DSMBas_CSwSPSA / 82.0.0</t>
  </si>
  <si>
    <t>RQONE04844158</t>
  </si>
  <si>
    <t>FC-ARA : DSMBas_SwSPSA / 82.0.0</t>
  </si>
  <si>
    <t>RQONE04844165</t>
  </si>
  <si>
    <t>FC-ARA : ElDev_CSwSPSA / 82.0.0</t>
  </si>
  <si>
    <t>RQONE04844179</t>
  </si>
  <si>
    <t>FC-ARA : VehDev_SwSPSA / 80.0.0</t>
  </si>
  <si>
    <t>RQONE04844185</t>
  </si>
  <si>
    <t>FC-ARA : ElDev_SwSPSA / 82.0.0</t>
  </si>
  <si>
    <t>RQONE04844197</t>
  </si>
  <si>
    <t>FC-ARA : ElSS_SwSPSA / 82.0.0</t>
  </si>
  <si>
    <t>RQONE04844205</t>
  </si>
  <si>
    <t>FC-ARA : VehC_SwSPSA / 80.0.0</t>
  </si>
  <si>
    <t>RQONE04844215</t>
  </si>
  <si>
    <t>FC-ARA : TCE_SwSPSA / 80.0.0</t>
  </si>
  <si>
    <t>RQONE04844232</t>
  </si>
  <si>
    <t>FC-ARA : SysC_SwSPSA / 80.0.0</t>
  </si>
  <si>
    <t>RQONE04844246</t>
  </si>
  <si>
    <t>FC-ARA : EngStrt_SwSPSA / 82.0.0</t>
  </si>
  <si>
    <t>RQONE04844262</t>
  </si>
  <si>
    <t>FC-ARA : Epm_SwSPSA / 82.0.0</t>
  </si>
  <si>
    <t>RQONE04844272</t>
  </si>
  <si>
    <t>FC-ARA : SysVar_SwSPSA / 80.0.0</t>
  </si>
  <si>
    <t>RQONE04844313</t>
  </si>
  <si>
    <t>FC-ARA : ExhMgT_SwSPSA / 82.0.0</t>
  </si>
  <si>
    <t>RQONE04844322</t>
  </si>
  <si>
    <t>FC-ARA : TME_SwSPSA / 80.0.0</t>
  </si>
  <si>
    <t>RQONE04844323</t>
  </si>
  <si>
    <t>FC-ARA : Mo_SwSPSA / 82.0.0</t>
  </si>
  <si>
    <t>RQONE04844343</t>
  </si>
  <si>
    <t>FC-ARA : ThS_SwSPSA / 80.0.0</t>
  </si>
  <si>
    <t>RQONE04844349</t>
  </si>
  <si>
    <t>FC-ARA : PtDev_SwSPSA / 82.0.0</t>
  </si>
  <si>
    <t>RQONE04844363</t>
  </si>
  <si>
    <t>FC-ARA : PwrTrn_CSwSPSA / 82.0.0</t>
  </si>
  <si>
    <t>RQONE04844420</t>
  </si>
  <si>
    <t>FC-ARA : PwrTrn_SwSPSA / 82.0.0</t>
  </si>
  <si>
    <t>RQONE04844453</t>
  </si>
  <si>
    <t>FC-ARA : SysC_SwSPSA / 82.0.0</t>
  </si>
  <si>
    <t>RQONE04844589</t>
  </si>
  <si>
    <t>FC-ARA : SysVar_SwSPSA / 82.0.0</t>
  </si>
  <si>
    <t>RQONE04844668</t>
  </si>
  <si>
    <t>FC-ARA : TCE_SwSPSA / 82.0.0</t>
  </si>
  <si>
    <t>RQONE04844676</t>
  </si>
  <si>
    <t>FC-ARA : Tdev_SwSPSA / 82.0.0</t>
  </si>
  <si>
    <t>RQONE04844679</t>
  </si>
  <si>
    <t>FC-ARA : ThDev_CSwSPSA / 82.0.0</t>
  </si>
  <si>
    <t>RQONE04844683</t>
  </si>
  <si>
    <t>FC-ARA : ThS_CSwSPSA / 82.0.0</t>
  </si>
  <si>
    <t>RQONE04844685</t>
  </si>
  <si>
    <t>FC-ARA : ThS_SwSPSA / 82.0.0</t>
  </si>
  <si>
    <t>RQONE04844741</t>
  </si>
  <si>
    <t>FC-ARA : TME_SwSPSA / 82.0.0</t>
  </si>
  <si>
    <t>RQONE04844753</t>
  </si>
  <si>
    <t>FC-ARA : VehDev_CSwSPSA / 82.0.0</t>
  </si>
  <si>
    <t>RQONE04844757</t>
  </si>
  <si>
    <t>FC-ARA : VehDev_SwSPSA / 82.0.0</t>
  </si>
  <si>
    <t>RQONE04845091</t>
  </si>
  <si>
    <t>BC : ComVeh / 709.42.0</t>
  </si>
  <si>
    <t>RQONE04845231</t>
  </si>
  <si>
    <t>FC-ARA : PSA2PSA_CSwSPSA / 82.0.0</t>
  </si>
  <si>
    <t>RQONE04845646</t>
  </si>
  <si>
    <t>FC-ARA : API_DELib_CSwSPSA / 51.1.0</t>
  </si>
  <si>
    <t>RQONE04845653</t>
  </si>
  <si>
    <t>FC-ARA : DSMBas_CSwSPSA / 51.1.0</t>
  </si>
  <si>
    <t>RQONE04845655</t>
  </si>
  <si>
    <t>RQONE04845656</t>
  </si>
  <si>
    <t>FC-ARA : IgCtl_SwSPSA / 51.1.0</t>
  </si>
  <si>
    <t>RQONE04845667</t>
  </si>
  <si>
    <t>FC-ARA : PSA2PSA_CSwSPSA / 51.1.0</t>
  </si>
  <si>
    <t>RQONE04845672</t>
  </si>
  <si>
    <t>FC-ARA : SysC_CSwSPSA / 51.1.0</t>
  </si>
  <si>
    <t>RQONE04846279</t>
  </si>
  <si>
    <t>BC : EngM / 4.16.0_1.10.0</t>
  </si>
  <si>
    <t>RQONE04847361</t>
  </si>
  <si>
    <t>FC : EngDa_DutyCycMon / 1.1.0</t>
  </si>
  <si>
    <t>RQONE03869637</t>
  </si>
  <si>
    <t>Update BCC : ComVeh / 780.2.0; 0</t>
  </si>
  <si>
    <t>Lehmann Holger (PS-SC/EFV4) (LEH1WI)</t>
  </si>
  <si>
    <t>BM-00026895_044</t>
  </si>
  <si>
    <t>RQONE03869667</t>
  </si>
  <si>
    <t>Update BCC : ComVeh / 504.0.0; 4</t>
  </si>
  <si>
    <t>RQONE04425579</t>
  </si>
  <si>
    <t>Implementation - Bugfix - Propulsion system active signal muted contrary to requirement when executing 28 01 01 - Part ComVeh -  MQBw Mainline</t>
  </si>
  <si>
    <t>RQONE04804179</t>
  </si>
  <si>
    <t>[SWSAPSA][DOCMISC] -- DocMisc Requirement for 01562_24_00348 OBM_Euro7_buffers_management</t>
  </si>
  <si>
    <t>RQONE04841234</t>
  </si>
  <si>
    <t>Test Execution - ReUse in MQBw_baseline: Implementation - EA839evo Audi V6T LK2 EU7: Entwicklung generischer Lösung für Anbindung Secundary OBD ECUs in der Berechnung der CALID</t>
  </si>
  <si>
    <t xml:space="preserve">13. Estimated Effort / Planned Date is not updated
</t>
  </si>
  <si>
    <t>RQONE04841235</t>
  </si>
  <si>
    <t>Implementation - ReUse in MQBw_baseline: Implementation - EA839evo Audi V6T LK2 EU7: Entwicklung generischer Lösung für Anbindung Secundary OBD ECUs in der Berechnung der CALID</t>
  </si>
  <si>
    <t>RQONE04841236</t>
  </si>
  <si>
    <t>Review of Implementation - ReUse in MQBw_baseline: Implementation - EA839evo Audi V6T LK2 EU7: Entwicklung generischer Lösung für Anbindung Secundary OBD ECUs in der Berechnung der CALID</t>
  </si>
  <si>
    <t>RQONE04841237</t>
  </si>
  <si>
    <t>Test-, Function Spec &amp; Documentation - ReUse in MQBw_baseline: Implementation - EA839evo Audi V6T LK2 EU7: Entwicklung generischer Lösung für Anbindung Secundary OBD ECUs in der Berechnung der CALID</t>
  </si>
  <si>
    <t>RQONE04841260</t>
  </si>
  <si>
    <t>Manage Support</t>
  </si>
  <si>
    <t>RQONE04842759</t>
  </si>
  <si>
    <t>Initiale ComVeh BC CEA - Preparation</t>
  </si>
  <si>
    <t>Sudheesan Gina (PS-SC/EFV4) (sud83wi)</t>
  </si>
  <si>
    <t>RQONE04843213</t>
  </si>
  <si>
    <t>Co-Ordination &amp; PDC</t>
  </si>
  <si>
    <t>RQONE04843214</t>
  </si>
  <si>
    <t>Test Report Review</t>
  </si>
  <si>
    <t>RQONE04843215</t>
  </si>
  <si>
    <t>Analysis &amp; Evaluation</t>
  </si>
  <si>
    <t>Truong Chi Long (MS/EPC42-PS) (TLO5HC)</t>
  </si>
  <si>
    <t>RQONE04845111</t>
  </si>
  <si>
    <t>SWSAPSA_DocMisc_Requirement_CSMT_CGMT07_0388_v3.1</t>
  </si>
  <si>
    <t>Charon Patrick (PS-SC/ECS1.4) (cha2so)</t>
  </si>
  <si>
    <t>RQONE04846812</t>
  </si>
  <si>
    <t>Test Execution - Korrektur Aufsplittung PLAUS in CS und CNT Fehler für LIN Diagnosen</t>
  </si>
  <si>
    <t>RQONE04846813</t>
  </si>
  <si>
    <t>Change Request Evaluation FD - Korrektur Aufsplittung PLAUS in CS und CNT Fehler für LIN Diagnosen</t>
  </si>
  <si>
    <t>RQONE04846815</t>
  </si>
  <si>
    <t>Implementation - Korrektur Aufsplittung PLAUS in CS und CNT Fehler für LIN Diagnosen</t>
  </si>
  <si>
    <t>RQONE04846816</t>
  </si>
  <si>
    <t>Review of Implementation - Korrektur Aufsplittung PLAUS in CS und CNT Fehler für LIN Diagnosen</t>
  </si>
  <si>
    <r>
      <t>RQONE04410579</t>
    </r>
    <r>
      <rPr>
        <sz val="10"/>
        <rFont val="Arial"/>
      </rPr>
      <t xml:space="preserve">
Truong Van Ngoc Em (MS/EPC42-PS)</t>
    </r>
  </si>
  <si>
    <r>
      <t>RQONE04841849</t>
    </r>
    <r>
      <rPr>
        <sz val="10"/>
        <rFont val="Arial"/>
      </rPr>
      <t xml:space="preserve">
Pham Nguyen Ngoc Toan (MS/EPC42-PS)</t>
    </r>
  </si>
  <si>
    <r>
      <t>RQONE04844440</t>
    </r>
    <r>
      <rPr>
        <sz val="10"/>
        <rFont val="Arial"/>
      </rPr>
      <t xml:space="preserve">
Nguyen Hoang Kha (MS/EPC42-PS)</t>
    </r>
  </si>
  <si>
    <r>
      <t>RQONE04769577</t>
    </r>
    <r>
      <rPr>
        <sz val="10"/>
        <rFont val="Arial"/>
      </rPr>
      <t xml:space="preserve">
Le Do Nguyen Chuong (MS/EPC42-PS)
12/5/2025</t>
    </r>
  </si>
  <si>
    <r>
      <t>RQONE04769634</t>
    </r>
    <r>
      <rPr>
        <sz val="10"/>
        <rFont val="Arial"/>
      </rPr>
      <t xml:space="preserve">
Dao Phi Duong (MS/EPC42-PS)
12/1/2025</t>
    </r>
  </si>
  <si>
    <r>
      <t>RQONE04772271</t>
    </r>
    <r>
      <rPr>
        <sz val="10"/>
        <rFont val="Arial"/>
      </rPr>
      <t xml:space="preserve">
Bui Sy Quan (MS/EPC42-PS)
12/1/2025</t>
    </r>
  </si>
  <si>
    <r>
      <t>RQONE04774285</t>
    </r>
    <r>
      <rPr>
        <sz val="10"/>
        <rFont val="Arial"/>
      </rPr>
      <t xml:space="preserve">
Bui Sy Quan (MS/EPC42-PS)
12/1/2025</t>
    </r>
  </si>
  <si>
    <r>
      <t>RQONE04774431</t>
    </r>
    <r>
      <rPr>
        <sz val="10"/>
        <rFont val="Arial"/>
      </rPr>
      <t xml:space="preserve">
Dao Phi Duong (MS/EPC42-PS)
12/1/2025</t>
    </r>
  </si>
  <si>
    <r>
      <t>RQONE04774440</t>
    </r>
    <r>
      <rPr>
        <sz val="10"/>
        <rFont val="Arial"/>
      </rPr>
      <t xml:space="preserve">
Dao Phi Duong (MS/EPC42-PS)
12/1/2025</t>
    </r>
  </si>
  <si>
    <r>
      <t>RQONE04774553</t>
    </r>
    <r>
      <rPr>
        <sz val="10"/>
        <rFont val="Arial"/>
      </rPr>
      <t xml:space="preserve">
Dao Phi Duong (MS/EPC42-PS)
12/1/2025</t>
    </r>
  </si>
  <si>
    <r>
      <t>RQONE04779344</t>
    </r>
    <r>
      <rPr>
        <sz val="10"/>
        <rFont val="Arial"/>
      </rPr>
      <t xml:space="preserve">
Le Do Nguyen Chuong (MS/EPC42-PS)
12/1/2025</t>
    </r>
  </si>
  <si>
    <r>
      <t>RQONE04799381</t>
    </r>
    <r>
      <rPr>
        <sz val="10"/>
        <rFont val="Arial"/>
      </rPr>
      <t xml:space="preserve">
Truong Van Ngoc Em (MS/EPC42-PS)
1/2/2026</t>
    </r>
  </si>
  <si>
    <r>
      <t>RQONE04815588</t>
    </r>
    <r>
      <rPr>
        <sz val="10"/>
        <rFont val="Arial"/>
      </rPr>
      <t xml:space="preserve">
Dang Sy Binh (MS/EPC42-PS)
11/21/2025</t>
    </r>
  </si>
  <si>
    <r>
      <t>RQONE04842394</t>
    </r>
    <r>
      <rPr>
        <sz val="10"/>
        <rFont val="Arial"/>
      </rPr>
      <t xml:space="preserve">
Khuat Duy Nguyen (MS/EPC42-PS)
11/21/2025</t>
    </r>
  </si>
  <si>
    <r>
      <t>RQONE04843969</t>
    </r>
    <r>
      <rPr>
        <sz val="10"/>
        <rFont val="Arial"/>
      </rPr>
      <t xml:space="preserve">
Dang Sy Binh (MS/EPC42-PS)
1/2/2026</t>
    </r>
  </si>
  <si>
    <r>
      <t>RQONE04843989</t>
    </r>
    <r>
      <rPr>
        <sz val="10"/>
        <rFont val="Arial"/>
      </rPr>
      <t xml:space="preserve">
Bui Sy Quan (MS/EPC42-PS)
1/23/2026</t>
    </r>
  </si>
  <si>
    <r>
      <t>RQONE04843990</t>
    </r>
    <r>
      <rPr>
        <sz val="10"/>
        <rFont val="Arial"/>
      </rPr>
      <t xml:space="preserve">
Bui Sy Quan (MS/EPC42-PS)
1/23/2026</t>
    </r>
  </si>
  <si>
    <r>
      <t>RQONE04844094</t>
    </r>
    <r>
      <rPr>
        <sz val="10"/>
        <rFont val="Arial"/>
      </rPr>
      <t xml:space="preserve">
Bui Sy Quan (MS/EPC42-PS)
1/23/2026</t>
    </r>
  </si>
  <si>
    <r>
      <t>RQONE04844099</t>
    </r>
    <r>
      <rPr>
        <sz val="10"/>
        <rFont val="Arial"/>
      </rPr>
      <t xml:space="preserve">
Bui Sy Quan (MS/EPC42-PS)
1/23/2026</t>
    </r>
  </si>
  <si>
    <r>
      <t>RQONE04844108</t>
    </r>
    <r>
      <rPr>
        <sz val="10"/>
        <rFont val="Arial"/>
      </rPr>
      <t xml:space="preserve">
Bui Sy Quan (MS/EPC42-PS)
1/23/2026</t>
    </r>
  </si>
  <si>
    <r>
      <t>RQONE04844144</t>
    </r>
    <r>
      <rPr>
        <sz val="10"/>
        <rFont val="Arial"/>
      </rPr>
      <t xml:space="preserve">
Bui Sy Quan (MS/EPC42-PS)
1/23/2026</t>
    </r>
  </si>
  <si>
    <r>
      <t>RQONE04844158</t>
    </r>
    <r>
      <rPr>
        <sz val="10"/>
        <rFont val="Arial"/>
      </rPr>
      <t xml:space="preserve">
Bui Sy Quan (MS/EPC42-PS)
1/23/2026</t>
    </r>
  </si>
  <si>
    <r>
      <t>RQONE04844165</t>
    </r>
    <r>
      <rPr>
        <sz val="10"/>
        <rFont val="Arial"/>
      </rPr>
      <t xml:space="preserve">
Bui Sy Quan (MS/EPC42-PS)
1/23/2026</t>
    </r>
  </si>
  <si>
    <r>
      <t>RQONE04844179</t>
    </r>
    <r>
      <rPr>
        <sz val="10"/>
        <rFont val="Arial"/>
      </rPr>
      <t xml:space="preserve">
Le Do Nguyen Chuong (MS/EPC42-PS)
12/1/2025</t>
    </r>
  </si>
  <si>
    <r>
      <t>RQONE04844185</t>
    </r>
    <r>
      <rPr>
        <sz val="10"/>
        <rFont val="Arial"/>
      </rPr>
      <t xml:space="preserve">
Bui Sy Quan (MS/EPC42-PS)
1/23/2026</t>
    </r>
  </si>
  <si>
    <r>
      <t>RQONE04844197</t>
    </r>
    <r>
      <rPr>
        <sz val="10"/>
        <rFont val="Arial"/>
      </rPr>
      <t xml:space="preserve">
Bui Sy Quan (MS/EPC42-PS)
1/23/2026</t>
    </r>
  </si>
  <si>
    <r>
      <t>RQONE04844205</t>
    </r>
    <r>
      <rPr>
        <sz val="10"/>
        <rFont val="Arial"/>
      </rPr>
      <t xml:space="preserve">
Le Do Nguyen Chuong (MS/EPC42-PS)
12/1/2025</t>
    </r>
  </si>
  <si>
    <r>
      <t>RQONE04844215</t>
    </r>
    <r>
      <rPr>
        <sz val="10"/>
        <rFont val="Arial"/>
      </rPr>
      <t xml:space="preserve">
Le Do Nguyen Chuong (MS/EPC42-PS)
12/1/2025</t>
    </r>
  </si>
  <si>
    <r>
      <t>RQONE04844232</t>
    </r>
    <r>
      <rPr>
        <sz val="10"/>
        <rFont val="Arial"/>
      </rPr>
      <t xml:space="preserve">
Le Do Nguyen Chuong (MS/EPC42-PS)
12/1/2025</t>
    </r>
  </si>
  <si>
    <r>
      <t>RQONE04844246</t>
    </r>
    <r>
      <rPr>
        <sz val="10"/>
        <rFont val="Arial"/>
      </rPr>
      <t xml:space="preserve">
Bui Sy Quan (MS/EPC42-PS)
1/23/2026</t>
    </r>
  </si>
  <si>
    <r>
      <t>RQONE04844262</t>
    </r>
    <r>
      <rPr>
        <sz val="10"/>
        <rFont val="Arial"/>
      </rPr>
      <t xml:space="preserve">
Bui Sy Quan (MS/EPC42-PS)
1/23/2026</t>
    </r>
  </si>
  <si>
    <r>
      <t>RQONE04844272</t>
    </r>
    <r>
      <rPr>
        <sz val="10"/>
        <rFont val="Arial"/>
      </rPr>
      <t xml:space="preserve">
Le Do Nguyen Chuong (MS/EPC42-PS)
12/1/2025</t>
    </r>
  </si>
  <si>
    <r>
      <t>RQONE04844313</t>
    </r>
    <r>
      <rPr>
        <sz val="10"/>
        <rFont val="Arial"/>
      </rPr>
      <t xml:space="preserve">
Bui Sy Quan (MS/EPC42-PS)
1/23/2026</t>
    </r>
  </si>
  <si>
    <r>
      <t>RQONE04844322</t>
    </r>
    <r>
      <rPr>
        <sz val="10"/>
        <rFont val="Arial"/>
      </rPr>
      <t xml:space="preserve">
Le Do Nguyen Chuong (MS/EPC42-PS)
12/1/2025</t>
    </r>
  </si>
  <si>
    <r>
      <t>RQONE04844323</t>
    </r>
    <r>
      <rPr>
        <sz val="10"/>
        <rFont val="Arial"/>
      </rPr>
      <t xml:space="preserve">
Bui Sy Quan (MS/EPC42-PS)
1/23/2026</t>
    </r>
  </si>
  <si>
    <r>
      <t>RQONE04844343</t>
    </r>
    <r>
      <rPr>
        <sz val="10"/>
        <rFont val="Arial"/>
      </rPr>
      <t xml:space="preserve">
Le Do Nguyen Chuong (MS/EPC42-PS)
12/1/2025</t>
    </r>
  </si>
  <si>
    <r>
      <t>RQONE04844349</t>
    </r>
    <r>
      <rPr>
        <sz val="10"/>
        <rFont val="Arial"/>
      </rPr>
      <t xml:space="preserve">
Bui Sy Quan (MS/EPC42-PS)
1/23/2026</t>
    </r>
  </si>
  <si>
    <r>
      <t>RQONE04844363</t>
    </r>
    <r>
      <rPr>
        <sz val="10"/>
        <rFont val="Arial"/>
      </rPr>
      <t xml:space="preserve">
Bui Sy Quan (MS/EPC42-PS)
1/23/2026</t>
    </r>
  </si>
  <si>
    <r>
      <t>RQONE04844420</t>
    </r>
    <r>
      <rPr>
        <sz val="10"/>
        <rFont val="Arial"/>
      </rPr>
      <t xml:space="preserve">
Bui Sy Quan (MS/EPC42-PS)
1/23/2026</t>
    </r>
  </si>
  <si>
    <r>
      <t>RQONE04844453</t>
    </r>
    <r>
      <rPr>
        <sz val="10"/>
        <rFont val="Arial"/>
      </rPr>
      <t xml:space="preserve">
Bui Sy Quan (MS/EPC42-PS)
1/23/2026</t>
    </r>
  </si>
  <si>
    <r>
      <t>RQONE04844589</t>
    </r>
    <r>
      <rPr>
        <sz val="10"/>
        <rFont val="Arial"/>
      </rPr>
      <t xml:space="preserve">
Bui Sy Quan (MS/EPC42-PS)
1/23/2026</t>
    </r>
  </si>
  <si>
    <r>
      <t>RQONE04844668</t>
    </r>
    <r>
      <rPr>
        <sz val="10"/>
        <rFont val="Arial"/>
      </rPr>
      <t xml:space="preserve">
Bui Sy Quan (MS/EPC42-PS)
1/23/2026</t>
    </r>
  </si>
  <si>
    <r>
      <t>RQONE04844676</t>
    </r>
    <r>
      <rPr>
        <sz val="10"/>
        <rFont val="Arial"/>
      </rPr>
      <t xml:space="preserve">
Bui Sy Quan (MS/EPC42-PS)
1/23/2026</t>
    </r>
  </si>
  <si>
    <r>
      <t>RQONE04844679</t>
    </r>
    <r>
      <rPr>
        <sz val="10"/>
        <rFont val="Arial"/>
      </rPr>
      <t xml:space="preserve">
Bui Sy Quan (MS/EPC42-PS)
1/23/2026</t>
    </r>
  </si>
  <si>
    <r>
      <t>RQONE04844683</t>
    </r>
    <r>
      <rPr>
        <sz val="10"/>
        <rFont val="Arial"/>
      </rPr>
      <t xml:space="preserve">
Bui Sy Quan (MS/EPC42-PS)
1/23/2026</t>
    </r>
  </si>
  <si>
    <r>
      <t>RQONE04844685</t>
    </r>
    <r>
      <rPr>
        <sz val="10"/>
        <rFont val="Arial"/>
      </rPr>
      <t xml:space="preserve">
Bui Sy Quan (MS/EPC42-PS)
1/23/2026</t>
    </r>
  </si>
  <si>
    <r>
      <t>RQONE04844741</t>
    </r>
    <r>
      <rPr>
        <sz val="10"/>
        <rFont val="Arial"/>
      </rPr>
      <t xml:space="preserve">
Bui Sy Quan (MS/EPC42-PS)
1/23/2026</t>
    </r>
  </si>
  <si>
    <r>
      <t>RQONE04844753</t>
    </r>
    <r>
      <rPr>
        <sz val="10"/>
        <rFont val="Arial"/>
      </rPr>
      <t xml:space="preserve">
Bui Sy Quan (MS/EPC42-PS)
1/23/2026</t>
    </r>
  </si>
  <si>
    <r>
      <t>RQONE04844757</t>
    </r>
    <r>
      <rPr>
        <sz val="10"/>
        <rFont val="Arial"/>
      </rPr>
      <t xml:space="preserve">
Bui Sy Quan (MS/EPC42-PS)
1/23/2026</t>
    </r>
  </si>
  <si>
    <r>
      <t>RQONE04845231</t>
    </r>
    <r>
      <rPr>
        <sz val="10"/>
        <rFont val="Arial"/>
      </rPr>
      <t xml:space="preserve">
Bui Sy Quan (MS/EPC42-PS)
1/23/2026</t>
    </r>
  </si>
  <si>
    <r>
      <t>RQONE04845646</t>
    </r>
    <r>
      <rPr>
        <sz val="10"/>
        <rFont val="Arial"/>
      </rPr>
      <t xml:space="preserve">
Dao Phi Duong (MS/EPC42-PS)
12/1/2025</t>
    </r>
  </si>
  <si>
    <r>
      <t>RQONE04845653</t>
    </r>
    <r>
      <rPr>
        <sz val="10"/>
        <rFont val="Arial"/>
      </rPr>
      <t xml:space="preserve">
Dao Phi Duong (MS/EPC42-PS)
12/1/2025</t>
    </r>
  </si>
  <si>
    <r>
      <t>RQONE04845655</t>
    </r>
    <r>
      <rPr>
        <sz val="10"/>
        <rFont val="Arial"/>
      </rPr>
      <t xml:space="preserve">
Nguyen Huu Dat (MS/EPC42-PS)
5/13/2026</t>
    </r>
  </si>
  <si>
    <r>
      <t>RQONE04845656</t>
    </r>
    <r>
      <rPr>
        <sz val="10"/>
        <rFont val="Arial"/>
      </rPr>
      <t xml:space="preserve">
Dao Phi Duong (MS/EPC42-PS)
12/1/2025</t>
    </r>
  </si>
  <si>
    <r>
      <t>RQONE04845667</t>
    </r>
    <r>
      <rPr>
        <sz val="10"/>
        <rFont val="Arial"/>
      </rPr>
      <t xml:space="preserve">
Dao Phi Duong (MS/EPC42-PS)
12/1/2025</t>
    </r>
  </si>
  <si>
    <r>
      <t>RQONE04845672</t>
    </r>
    <r>
      <rPr>
        <sz val="10"/>
        <rFont val="Arial"/>
      </rPr>
      <t xml:space="preserve">
Dao Phi Duong (MS/EPC42-PS)
12/1/2025</t>
    </r>
  </si>
  <si>
    <r>
      <t>RQONE03869637</t>
    </r>
    <r>
      <rPr>
        <sz val="10"/>
        <rFont val="Arial"/>
      </rPr>
      <t xml:space="preserve">
Truong Van Ngoc Em (MS/EPC42-PS)
3/1/2028</t>
    </r>
  </si>
  <si>
    <r>
      <t>RQONE03869667</t>
    </r>
    <r>
      <rPr>
        <sz val="10"/>
        <rFont val="Arial"/>
      </rPr>
      <t xml:space="preserve">
Truong Van Ngoc Em (MS/EPC42-PS)
3/1/2028</t>
    </r>
  </si>
  <si>
    <r>
      <t>RQONE04425579</t>
    </r>
    <r>
      <rPr>
        <sz val="10"/>
        <rFont val="Arial"/>
      </rPr>
      <t xml:space="preserve">
Nguyen Anh Khoa (MS/EPC42-PS)
12/5/2025</t>
    </r>
  </si>
  <si>
    <r>
      <t>RQONE04827894</t>
    </r>
    <r>
      <rPr>
        <sz val="10"/>
        <rFont val="Arial"/>
      </rPr>
      <t xml:space="preserve">
Tran Ngoc Cat (MS/EPC42-PS)
11/28/2025</t>
    </r>
  </si>
  <si>
    <r>
      <t>RQONE04841260</t>
    </r>
    <r>
      <rPr>
        <sz val="10"/>
        <rFont val="Arial"/>
      </rPr>
      <t xml:space="preserve">
Truong Van Ngoc Em (MS/EPC42-PS)
</t>
    </r>
  </si>
  <si>
    <r>
      <t>RQONE04843213</t>
    </r>
    <r>
      <rPr>
        <sz val="10"/>
        <rFont val="Arial"/>
      </rPr>
      <t xml:space="preserve">
Khuat Duy Nguyen (MS/EPC42-PS)
</t>
    </r>
  </si>
  <si>
    <r>
      <t>RQONE04843214</t>
    </r>
    <r>
      <rPr>
        <sz val="10"/>
        <rFont val="Arial"/>
      </rPr>
      <t xml:space="preserve">
Khuat Duy Nguyen (MS/EPC42-PS)
</t>
    </r>
  </si>
  <si>
    <r>
      <t>RQONE04843215</t>
    </r>
    <r>
      <rPr>
        <sz val="10"/>
        <rFont val="Arial"/>
      </rPr>
      <t xml:space="preserve">
Khuat Duy Nguyen (MS/EPC42-PS)
</t>
    </r>
  </si>
  <si>
    <r>
      <t>RQONE04845111</t>
    </r>
    <r>
      <rPr>
        <sz val="10"/>
        <rFont val="Arial"/>
      </rPr>
      <t xml:space="preserve">
Pham Nguyen Ngoc Toan (MS/EPC42-PS)
</t>
    </r>
  </si>
  <si>
    <t>Ford Group</t>
  </si>
  <si>
    <t>RQONE04844427</t>
  </si>
  <si>
    <t>[EngTmr]FDEC.OBD_ENGSUP-00159-Request 5 new AECD timers, PID F4DC and inhale exhale DID</t>
  </si>
  <si>
    <t>Vaishnavi Murali (MS/ECU44-PS) (umv6kor)</t>
  </si>
  <si>
    <t>BM-00059000_013 - P2480_ECS3003_Ford_P708_6.7L_Scorpion</t>
  </si>
  <si>
    <t>.</t>
  </si>
  <si>
    <t>Germany</t>
  </si>
  <si>
    <t>RQONE04844645</t>
  </si>
  <si>
    <t>Robustness_Measure for MQBEvo: Ensuring the mutual exclusivity of interfaces writing to the signal MO_Solldrehz_Leerlauf</t>
  </si>
  <si>
    <t>RQONE04847896</t>
  </si>
  <si>
    <t>[HDI G2 MD1]15 DCR_P1789_020 - Migrate Driver for Oil Level Sensor</t>
  </si>
  <si>
    <t>RQONE04848203</t>
  </si>
  <si>
    <t>##[KAP4.2.3.2] WIV - ZDC schreiben bei KL15 aus - Bosch#39-2025#2923660#2923660</t>
  </si>
  <si>
    <t>RQONE04848443</t>
  </si>
  <si>
    <t>RQONE04851195</t>
  </si>
  <si>
    <t>Robustheitsmaßnahme für COMScl 10ms - BC : ComVeh / 504.33.0_2.2.0</t>
  </si>
  <si>
    <t xml:space="preserve">1. I-FD evaluation to be completed in 1 day
</t>
  </si>
  <si>
    <t>RQONE04851301</t>
  </si>
  <si>
    <t>01552_21_07967_v27.2 - CArASI for eVCU V2C14 bugfix update docmisc requirement from DiaBas</t>
  </si>
  <si>
    <t>RQONE04851310</t>
  </si>
  <si>
    <t>RQONE04852242</t>
  </si>
  <si>
    <t>RQONE04659895</t>
  </si>
  <si>
    <t>BC : ComVeh / 609.47.0</t>
  </si>
  <si>
    <t xml:space="preserve">15. FC-Release is not linked to BC-Release
</t>
  </si>
  <si>
    <t>RQONE04847983</t>
  </si>
  <si>
    <t>FC : OilCmbdSen_DD / 16.1.0</t>
  </si>
  <si>
    <t>RQONE04849249</t>
  </si>
  <si>
    <t>FC : OilSepActr_Ctrl / 3.12.0_1.3.0</t>
  </si>
  <si>
    <t>RQONE04853324</t>
  </si>
  <si>
    <t>BC : SwSAPSA / 38.170.0</t>
  </si>
  <si>
    <t>RQONE04853459</t>
  </si>
  <si>
    <t>FC-ARA : ComDia_CSwSPSA / 51.1.0</t>
  </si>
  <si>
    <t>Tran Manh Khai (MS/EPC42-PS)</t>
  </si>
  <si>
    <t>Tran Manh Khai (MS/EPC42-PS) (TNK6HC)</t>
  </si>
  <si>
    <t>RQONE04853491</t>
  </si>
  <si>
    <t>FC-ARA : Tdev_SwSPSA / 51.1.0</t>
  </si>
  <si>
    <t>RQONE04853546</t>
  </si>
  <si>
    <t>BC : EngTmr / 42.32.0</t>
  </si>
  <si>
    <t>RQONE04853555</t>
  </si>
  <si>
    <t>FC : EngDa_TiEngOn / 45.3.0</t>
  </si>
  <si>
    <t>RQONE04853623</t>
  </si>
  <si>
    <t>FC-ARA : ComDia_SwSPSA / 38.170.0</t>
  </si>
  <si>
    <t>RQONE04853710</t>
  </si>
  <si>
    <t>FC-ARA : VehC_SwSPSA / 38.170.0</t>
  </si>
  <si>
    <t>RQONE04853790</t>
  </si>
  <si>
    <t>FC-ARA : DiaBas_CSwSPSA / 51.1.0</t>
  </si>
  <si>
    <t>RQONE04854628</t>
  </si>
  <si>
    <t>BC : SwSAPSA / 46.2.0</t>
  </si>
  <si>
    <t>RQONE04854687</t>
  </si>
  <si>
    <t>FC : EvapPu_SwSPSA / 46.2.0</t>
  </si>
  <si>
    <t>RQONE04854691</t>
  </si>
  <si>
    <t>FC : SwSAPSA_EvapPuSwSLyr / 46.2.0</t>
  </si>
  <si>
    <t>RQONE04854695</t>
  </si>
  <si>
    <t>FC-ARA : ComVeh_CSwSPSA / 46.2.0</t>
  </si>
  <si>
    <t>RQONE04854697</t>
  </si>
  <si>
    <t>FC-ARA : DSMBas_CSwSPSA / 46.2.0</t>
  </si>
  <si>
    <t>RQONE04854705</t>
  </si>
  <si>
    <t>FC-ARA : SwSAPSA_CSwSLyr / 46.2.0</t>
  </si>
  <si>
    <t>RQONE04856282</t>
  </si>
  <si>
    <t>FC : EngDa_TiEngOff / 5.12.0</t>
  </si>
  <si>
    <t>BM-00041205_003</t>
  </si>
  <si>
    <t>RQONE04849965</t>
  </si>
  <si>
    <t>[CRM] Analyse and Clarify the Change Request - Improving Consistency and Automation in RBA_NDS File Integration</t>
  </si>
  <si>
    <t>RQONE04850566</t>
  </si>
  <si>
    <t>PortRxBoundaryPhy - ECU-Test generates redundant test cases</t>
  </si>
  <si>
    <t>Huynh Quoc Hoang (MS/EPC42-PS) (HYO2HC)</t>
  </si>
  <si>
    <t>RQONE04855804</t>
  </si>
  <si>
    <t>Analysis for CVOPL-8046; CVOPL-8014; CVOPL-6243</t>
  </si>
  <si>
    <t>RQONE04856109</t>
  </si>
  <si>
    <t>Review of Design, Spec &amp; Impl.</t>
  </si>
  <si>
    <t>RQONE04856589</t>
  </si>
  <si>
    <t>RQONE04856590</t>
  </si>
  <si>
    <t>RQONE04859010</t>
  </si>
  <si>
    <t>PVER : VC1CP019_Br2 / W1130C- IS1 SwSAPSA Dysched Patch</t>
  </si>
  <si>
    <r>
      <t>RQONE04818288</t>
    </r>
    <r>
      <rPr>
        <sz val="10"/>
        <rFont val="Arial"/>
      </rPr>
      <t xml:space="preserve">
Pham Nguyen Ngoc Toan (MS/EPC42-PS)</t>
    </r>
  </si>
  <si>
    <r>
      <t>RQONE04823483</t>
    </r>
    <r>
      <rPr>
        <sz val="10"/>
        <rFont val="Arial"/>
      </rPr>
      <t xml:space="preserve">
Nguyen Le Thanh Loc (MS/EPC42-PS)</t>
    </r>
  </si>
  <si>
    <r>
      <t>RQONE04844427</t>
    </r>
    <r>
      <rPr>
        <sz val="10"/>
        <rFont val="Arial"/>
      </rPr>
      <t xml:space="preserve">
Khuat Duy Nguyen (MS/EPC42-PS)</t>
    </r>
  </si>
  <si>
    <r>
      <t>RQONE04846087</t>
    </r>
    <r>
      <rPr>
        <sz val="10"/>
        <rFont val="Arial"/>
      </rPr>
      <t xml:space="preserve">
Truong Chi Long (MS/EPC42-PS)</t>
    </r>
  </si>
  <si>
    <r>
      <t>RQONE04846915</t>
    </r>
    <r>
      <rPr>
        <sz val="10"/>
        <rFont val="Arial"/>
      </rPr>
      <t xml:space="preserve">
Pham Nguyen Ngoc Toan (MS/EPC42-PS)</t>
    </r>
  </si>
  <si>
    <r>
      <t>RQONE04847896</t>
    </r>
    <r>
      <rPr>
        <sz val="10"/>
        <rFont val="Arial"/>
      </rPr>
      <t xml:space="preserve">
Khuat Duy Nguyen (MS/EPC42-PS)</t>
    </r>
  </si>
  <si>
    <r>
      <t>RQONE04848203</t>
    </r>
    <r>
      <rPr>
        <sz val="10"/>
        <rFont val="Arial"/>
      </rPr>
      <t xml:space="preserve">
Khuat Duy Nguyen (MS/EPC42-PS)</t>
    </r>
  </si>
  <si>
    <r>
      <t>RQONE04848443</t>
    </r>
    <r>
      <rPr>
        <sz val="10"/>
        <rFont val="Arial"/>
      </rPr>
      <t xml:space="preserve">
Dao Phi Duong (MS/EPC42-PS)</t>
    </r>
  </si>
  <si>
    <r>
      <t>RQONE04851195</t>
    </r>
    <r>
      <rPr>
        <sz val="10"/>
        <rFont val="Arial"/>
      </rPr>
      <t xml:space="preserve">
Truong Van Ngoc Em (MS/EPC42-PS)</t>
    </r>
  </si>
  <si>
    <r>
      <t>RQONE04851301</t>
    </r>
    <r>
      <rPr>
        <sz val="10"/>
        <rFont val="Arial"/>
      </rPr>
      <t xml:space="preserve">
Pham Nguyen Ngoc Toan (MS/EPC42-PS)</t>
    </r>
  </si>
  <si>
    <r>
      <t>RQONE04851310</t>
    </r>
    <r>
      <rPr>
        <sz val="10"/>
        <rFont val="Arial"/>
      </rPr>
      <t xml:space="preserve">
Nguyen Huu Dat (MS/EPC42-PS)</t>
    </r>
  </si>
  <si>
    <r>
      <t>RQONE04852242</t>
    </r>
    <r>
      <rPr>
        <sz val="10"/>
        <rFont val="Arial"/>
      </rPr>
      <t xml:space="preserve">
Le Do Nguyen Chuong (MS/EPC42-PS)</t>
    </r>
  </si>
  <si>
    <r>
      <t>RQONE04646957</t>
    </r>
    <r>
      <rPr>
        <sz val="10"/>
        <rFont val="Arial"/>
      </rPr>
      <t xml:space="preserve">
Le Do Nguyen Chuong (MS/EPC42-PS)
12/31/2025</t>
    </r>
  </si>
  <si>
    <r>
      <t>RQONE04648073</t>
    </r>
    <r>
      <rPr>
        <sz val="10"/>
        <rFont val="Arial"/>
      </rPr>
      <t xml:space="preserve">
Le Do Nguyen Chuong (MS/EPC42-PS)
12/31/2025</t>
    </r>
  </si>
  <si>
    <r>
      <t>RQONE04793634</t>
    </r>
    <r>
      <rPr>
        <sz val="10"/>
        <rFont val="Arial"/>
      </rPr>
      <t xml:space="preserve">
Nguyen Le Thanh Loc (MS/EPC42-PS)
11/26/2025</t>
    </r>
  </si>
  <si>
    <r>
      <t>RQONE04818082</t>
    </r>
    <r>
      <rPr>
        <sz val="10"/>
        <rFont val="Arial"/>
      </rPr>
      <t xml:space="preserve">
Khuat Duy Nguyen (MS/EPC42-PS)
12/3/2025</t>
    </r>
  </si>
  <si>
    <r>
      <t>RQONE04830120</t>
    </r>
    <r>
      <rPr>
        <sz val="10"/>
        <rFont val="Arial"/>
      </rPr>
      <t xml:space="preserve">
Le Do Nguyen Chuong (MS/EPC42-PS)
11/29/2025</t>
    </r>
  </si>
  <si>
    <r>
      <t>RQONE04842518</t>
    </r>
    <r>
      <rPr>
        <sz val="10"/>
        <rFont val="Arial"/>
      </rPr>
      <t xml:space="preserve">
Nguyen Le Thanh Loc (MS/EPC42-PS)
12/1/2025</t>
    </r>
  </si>
  <si>
    <r>
      <t>RQONE04845091</t>
    </r>
    <r>
      <rPr>
        <sz val="10"/>
        <rFont val="Arial"/>
      </rPr>
      <t xml:space="preserve">
Dang Sy Binh (MS/EPC42-PS)
2/6/2026</t>
    </r>
  </si>
  <si>
    <r>
      <t>RQONE04846279</t>
    </r>
    <r>
      <rPr>
        <sz val="10"/>
        <rFont val="Arial"/>
      </rPr>
      <t xml:space="preserve">
Truong Chi Long (MS/EPC42-PS)
12/3/2025</t>
    </r>
  </si>
  <si>
    <r>
      <t>RQONE04847361</t>
    </r>
    <r>
      <rPr>
        <sz val="10"/>
        <rFont val="Arial"/>
      </rPr>
      <t xml:space="preserve">
Nguyen Le Thanh Loc (MS/EPC42-PS)
12/1/2025</t>
    </r>
  </si>
  <si>
    <r>
      <t>RQONE04847983</t>
    </r>
    <r>
      <rPr>
        <sz val="10"/>
        <rFont val="Arial"/>
      </rPr>
      <t xml:space="preserve">
Khuat Duy Nguyen (MS/EPC42-PS)
12/3/2025</t>
    </r>
  </si>
  <si>
    <r>
      <t>RQONE04849249</t>
    </r>
    <r>
      <rPr>
        <sz val="10"/>
        <rFont val="Arial"/>
      </rPr>
      <t xml:space="preserve">
Truong Chi Long (MS/EPC42-PS)
12/3/2025</t>
    </r>
  </si>
  <si>
    <r>
      <t>RQONE04853459</t>
    </r>
    <r>
      <rPr>
        <sz val="10"/>
        <rFont val="Arial"/>
      </rPr>
      <t xml:space="preserve">
Tran Manh Khai (MS/EPC42-PS)
12/5/2025</t>
    </r>
  </si>
  <si>
    <r>
      <t>RQONE04853491</t>
    </r>
    <r>
      <rPr>
        <sz val="10"/>
        <rFont val="Arial"/>
      </rPr>
      <t xml:space="preserve">
Tran Manh Khai (MS/EPC42-PS)
12/5/2025</t>
    </r>
  </si>
  <si>
    <r>
      <t>RQONE04853546</t>
    </r>
    <r>
      <rPr>
        <sz val="10"/>
        <rFont val="Arial"/>
      </rPr>
      <t xml:space="preserve">
Khuat Duy Nguyen (MS/EPC42-PS)
1/9/2026</t>
    </r>
  </si>
  <si>
    <r>
      <t>RQONE04853555</t>
    </r>
    <r>
      <rPr>
        <sz val="10"/>
        <rFont val="Arial"/>
      </rPr>
      <t xml:space="preserve">
Khuat Duy Nguyen (MS/EPC42-PS)
1/9/2026</t>
    </r>
  </si>
  <si>
    <r>
      <t>RQONE04853623</t>
    </r>
    <r>
      <rPr>
        <sz val="10"/>
        <rFont val="Arial"/>
      </rPr>
      <t xml:space="preserve">
Le Do Nguyen Chuong (MS/EPC42-PS)
11/29/2025</t>
    </r>
  </si>
  <si>
    <r>
      <t>RQONE04853710</t>
    </r>
    <r>
      <rPr>
        <sz val="10"/>
        <rFont val="Arial"/>
      </rPr>
      <t xml:space="preserve">
Le Do Nguyen Chuong (MS/EPC42-PS)
11/29/2025</t>
    </r>
  </si>
  <si>
    <r>
      <t>RQONE04853790</t>
    </r>
    <r>
      <rPr>
        <sz val="10"/>
        <rFont val="Arial"/>
      </rPr>
      <t xml:space="preserve">
Tran Manh Khai (MS/EPC42-PS)
12/5/2025</t>
    </r>
  </si>
  <si>
    <r>
      <t>RQONE04854687</t>
    </r>
    <r>
      <rPr>
        <sz val="10"/>
        <rFont val="Arial"/>
      </rPr>
      <t xml:space="preserve">
Le Do Nguyen Chuong (MS/EPC42-PS)
12/31/2025</t>
    </r>
  </si>
  <si>
    <r>
      <t>RQONE04854691</t>
    </r>
    <r>
      <rPr>
        <sz val="10"/>
        <rFont val="Arial"/>
      </rPr>
      <t xml:space="preserve">
Le Do Nguyen Chuong (MS/EPC42-PS)
12/31/2025</t>
    </r>
  </si>
  <si>
    <r>
      <t>RQONE04854695</t>
    </r>
    <r>
      <rPr>
        <sz val="10"/>
        <rFont val="Arial"/>
      </rPr>
      <t xml:space="preserve">
Le Do Nguyen Chuong (MS/EPC42-PS)
12/31/2025</t>
    </r>
  </si>
  <si>
    <r>
      <t>RQONE04854697</t>
    </r>
    <r>
      <rPr>
        <sz val="10"/>
        <rFont val="Arial"/>
      </rPr>
      <t xml:space="preserve">
Le Do Nguyen Chuong (MS/EPC42-PS)
12/31/2025</t>
    </r>
  </si>
  <si>
    <r>
      <t>RQONE04854705</t>
    </r>
    <r>
      <rPr>
        <sz val="10"/>
        <rFont val="Arial"/>
      </rPr>
      <t xml:space="preserve">
Le Do Nguyen Chuong (MS/EPC42-PS)
12/31/2025</t>
    </r>
  </si>
  <si>
    <r>
      <t>RQONE04856282</t>
    </r>
    <r>
      <rPr>
        <sz val="10"/>
        <rFont val="Arial"/>
      </rPr>
      <t xml:space="preserve">
Khuat Duy Nguyen (MS/EPC42-PS)
12/1/2025</t>
    </r>
  </si>
  <si>
    <r>
      <t>RQONE04672408</t>
    </r>
    <r>
      <rPr>
        <sz val="10"/>
        <rFont val="Arial"/>
      </rPr>
      <t xml:space="preserve">
Le Do Nguyen Chuong (MS/EPC42-PS)
12/31/2025</t>
    </r>
  </si>
  <si>
    <r>
      <t>RQONE04672409</t>
    </r>
    <r>
      <rPr>
        <sz val="10"/>
        <rFont val="Arial"/>
      </rPr>
      <t xml:space="preserve">
Le Do Nguyen Chuong (MS/EPC42-PS)
12/31/2025</t>
    </r>
  </si>
  <si>
    <r>
      <t>RQONE04672411</t>
    </r>
    <r>
      <rPr>
        <sz val="10"/>
        <rFont val="Arial"/>
      </rPr>
      <t xml:space="preserve">
Le Do Nguyen Chuong (MS/EPC42-PS)
12/31/2025</t>
    </r>
  </si>
  <si>
    <r>
      <t>RQONE04724593</t>
    </r>
    <r>
      <rPr>
        <sz val="10"/>
        <rFont val="Arial"/>
      </rPr>
      <t xml:space="preserve">
Tran Ngoc Cat (MS/EPC42-PS)
</t>
    </r>
  </si>
  <si>
    <r>
      <t>RQONE04724594</t>
    </r>
    <r>
      <rPr>
        <sz val="10"/>
        <rFont val="Arial"/>
      </rPr>
      <t xml:space="preserve">
Tran Ngoc Cat (MS/EPC42-PS)
</t>
    </r>
  </si>
  <si>
    <r>
      <t>RQONE04755743</t>
    </r>
    <r>
      <rPr>
        <sz val="10"/>
        <rFont val="Arial"/>
      </rPr>
      <t xml:space="preserve">
Huynh Quoc Hoang (MS/EPC42-PS)
11/28/2025</t>
    </r>
  </si>
  <si>
    <r>
      <t>RQONE04807349</t>
    </r>
    <r>
      <rPr>
        <sz val="10"/>
        <rFont val="Arial"/>
      </rPr>
      <t xml:space="preserve">
Le Do Nguyen Chuong (MS/EPC42-PS)
12/31/2025</t>
    </r>
  </si>
  <si>
    <r>
      <t>RQONE04814602</t>
    </r>
    <r>
      <rPr>
        <sz val="10"/>
        <rFont val="Arial"/>
      </rPr>
      <t xml:space="preserve">
Nguyen Huu Dat (MS/EPC42-PS)
11/20/2025</t>
    </r>
  </si>
  <si>
    <r>
      <t>RQONE04829167</t>
    </r>
    <r>
      <rPr>
        <sz val="10"/>
        <rFont val="Arial"/>
      </rPr>
      <t xml:space="preserve">
Le Do Nguyen Chuong (MS/EPC42-PS)
12/31/2025</t>
    </r>
  </si>
  <si>
    <r>
      <t>RQONE04839023</t>
    </r>
    <r>
      <rPr>
        <sz val="10"/>
        <rFont val="Arial"/>
      </rPr>
      <t xml:space="preserve">
Nguyen Vuu Huy Hoang (MS/EPC42-PS)
11/28/2025</t>
    </r>
  </si>
  <si>
    <r>
      <t>RQONE04839028</t>
    </r>
    <r>
      <rPr>
        <sz val="10"/>
        <rFont val="Arial"/>
      </rPr>
      <t xml:space="preserve">
Nguyen Vuu Huy Hoang (MS/EPC42-PS)
11/28/2025</t>
    </r>
  </si>
  <si>
    <r>
      <t>RQONE04839031</t>
    </r>
    <r>
      <rPr>
        <sz val="10"/>
        <rFont val="Arial"/>
      </rPr>
      <t xml:space="preserve">
Nguyen Vuu Huy Hoang (MS/EPC42-PS)
11/28/2025</t>
    </r>
  </si>
  <si>
    <r>
      <t>RQONE04839032</t>
    </r>
    <r>
      <rPr>
        <sz val="10"/>
        <rFont val="Arial"/>
      </rPr>
      <t xml:space="preserve">
Nguyen Vuu Huy Hoang (MS/EPC42-PS)
11/28/2025</t>
    </r>
  </si>
  <si>
    <r>
      <t>RQONE04849965</t>
    </r>
    <r>
      <rPr>
        <sz val="10"/>
        <rFont val="Arial"/>
      </rPr>
      <t xml:space="preserve">
Truong Van Ngoc Em (MS/EPC42-PS)
</t>
    </r>
  </si>
  <si>
    <r>
      <t>RQONE04850566</t>
    </r>
    <r>
      <rPr>
        <sz val="10"/>
        <rFont val="Arial"/>
      </rPr>
      <t xml:space="preserve">
Huynh Quoc Hoang (MS/EPC42-PS)
</t>
    </r>
  </si>
  <si>
    <r>
      <t>RQONE04856589</t>
    </r>
    <r>
      <rPr>
        <sz val="10"/>
        <rFont val="Arial"/>
      </rPr>
      <t xml:space="preserve">
Khuat Duy Nguyen (MS/EPC42-PS)
11/22/2025</t>
    </r>
  </si>
  <si>
    <r>
      <t>RQONE04859010</t>
    </r>
    <r>
      <rPr>
        <sz val="10"/>
        <rFont val="Arial"/>
      </rPr>
      <t xml:space="preserve">
Nguyen Huu Dat (MS/EPC42-PS)
11/21/2025</t>
    </r>
  </si>
  <si>
    <t>RQONE04708616</t>
  </si>
  <si>
    <t>##Bedienung des Vernetzungs-Signals [OBD_SpecialReadinessCondition] und Berücksichtigung des Signals bei der Motorsteuergerät-internen Readiness-Berechnung#30-2025#2912656#2912656 - ComVeh</t>
  </si>
  <si>
    <t>Gollnisch Stefan (PS-SC/ESC4) (stgollni)</t>
  </si>
  <si>
    <t>Vo Huynh Nhat Tan (MS/EPS21-SWC)</t>
  </si>
  <si>
    <t>9A3-Project: OX-005333
OX-005333-12-07-35-03-08
Hochstrasser Patrick (BEG/EPB3)
BM-00041205_003 : for CuPf and FD@ECV effort</t>
  </si>
  <si>
    <t>##[CH-43668112] SWSVW_Adp_DMG1311VH1P2444_12.1.0_Teil3#25-2025#2904688#2904688 - Anteil BX: SWSComVeh_VW -  FX : BAP_Cfg_VW</t>
  </si>
  <si>
    <t>Done</t>
  </si>
  <si>
    <t>RQONE04794776</t>
  </si>
  <si>
    <t>##Umsetzung K-Matrix V12.10.21.03 für das VKM SG in der E³ Plattform für BSW20.03#39-2025#2924268#2924268</t>
  </si>
  <si>
    <t>RQONE04797460</t>
  </si>
  <si>
    <t>##[CH-48285132] Update ComM_ComUser_V33#39-2025#2924310#2924310</t>
  </si>
  <si>
    <t>RQONE04805325</t>
  </si>
  <si>
    <t>##[LB74x PA] New PWT dbc CAN implementation#39-2025#2923971#2923971</t>
  </si>
  <si>
    <t>01460_23_00342_v6.12</t>
  </si>
  <si>
    <t>RQONE04836603</t>
  </si>
  <si>
    <t>####SWSVW_LIB_DMG1203P06P2670_4.1.0#42-2025#2927777#2927777 Anteil ComVeh</t>
  </si>
  <si>
    <t>RQONE04845337</t>
  </si>
  <si>
    <t>##Umsetzung K-Matrix V12.10.21.03 für das VKM SG in der E³ Plattform für BSW20.03#39-2025#2924268#2924268_Mapping</t>
  </si>
  <si>
    <t>BM-00006645_005</t>
  </si>
  <si>
    <t>RQONE04860926</t>
  </si>
  <si>
    <t>Improving Consistency and Automation in RBA_NDS File Integration - Fix 2x Warnings in comscl_coor_pdu_cfg_pavast.xml</t>
  </si>
  <si>
    <t>RQONE04861556</t>
  </si>
  <si>
    <t>01552_23_01071_IM1_v12.0 DF1 preparation</t>
  </si>
  <si>
    <t>BM-00088218_005</t>
  </si>
  <si>
    <t>RQONE04863652</t>
  </si>
  <si>
    <t>Preliminary Issue for ComVeh / 1080.x.x planning for CEA1.0 P2846 / M28A10</t>
  </si>
  <si>
    <t>BM-00090880_002 (FP-Sheets)</t>
  </si>
  <si>
    <t>RQONE04865476</t>
  </si>
  <si>
    <t>Temporary I-SW</t>
  </si>
  <si>
    <t>RQONE04867265</t>
  </si>
  <si>
    <t>[MG1CS052]_EU7_01552_22_02754_v13.2_CARASI_eCAT_MHEV_PHEV_EURO_7_P2_VC3</t>
  </si>
  <si>
    <t>RQONE04868434</t>
  </si>
  <si>
    <t>RQONE04868928</t>
  </si>
  <si>
    <t>01552_21_07967_v27.2 - CArASI for eVCU V2C14 bugfix update DiaBas interfaces</t>
  </si>
  <si>
    <t>RQONE04868935</t>
  </si>
  <si>
    <t>[MG1CS052]_EU7_ICE_01552_25_01924_v6.0</t>
  </si>
  <si>
    <t>RQONE04869446</t>
  </si>
  <si>
    <t>RQONE04871018</t>
  </si>
  <si>
    <t xml:space="preserve">1. I-FD evaluation to be completed in 2 days
</t>
  </si>
  <si>
    <t>RQONE04872664</t>
  </si>
  <si>
    <t>01552_25_04422_v2.0 - CArASI for eVCU E2C1</t>
  </si>
  <si>
    <t>RQONE04872678</t>
  </si>
  <si>
    <t>01552_25_04176_v2.0_CARASI_eVCU_E1C2</t>
  </si>
  <si>
    <t>Chandana H S (MS/EEP3-PS) (hhc1kor)</t>
  </si>
  <si>
    <t>RQONE04872984</t>
  </si>
  <si>
    <t>[MMC_4B17][SRL #00] TIOFF_VDTISTRTENDOFFENA_SC to 1, ECU_GENR_SY update- BC:EngTmr</t>
  </si>
  <si>
    <t>Parthasarathy N (MS/EIN1-SWC) (par1cob)</t>
  </si>
  <si>
    <t>BM-00098034_022 for Step2 (A-Proto #1 Veh)</t>
  </si>
  <si>
    <t xml:space="preserve">7. Release not closed after planned date
</t>
  </si>
  <si>
    <t>Developed</t>
  </si>
  <si>
    <t xml:space="preserve">8. BC-R is not in requested state 4 weeks before planned delivery date
</t>
  </si>
  <si>
    <t>BC : SwSAPSA / 32.46.0</t>
  </si>
  <si>
    <t>RQONE04861682</t>
  </si>
  <si>
    <t>BC : ComVeh / 1080.0.0</t>
  </si>
  <si>
    <t>RQONE04861847</t>
  </si>
  <si>
    <t>BC : EngM / 10.91.0</t>
  </si>
  <si>
    <t>RQONE04861852</t>
  </si>
  <si>
    <t>FC : OilLfT_Cal / 36.8.0</t>
  </si>
  <si>
    <t>RQONE04864069</t>
  </si>
  <si>
    <t>FC-ARA : ComDia_CSwSPSA / 42.49.0</t>
  </si>
  <si>
    <t>RQONE04864183</t>
  </si>
  <si>
    <t>FC-ARA : Mo_SwSPSA / 42.49.0</t>
  </si>
  <si>
    <t>RQONE04864190</t>
  </si>
  <si>
    <t>FC-ARA : DiaBas_CSwSPSA / 42.49.0</t>
  </si>
  <si>
    <t>RQONE04867752</t>
  </si>
  <si>
    <t>FC-ARA : ComDia_SwSPSA / 46.2.0</t>
  </si>
  <si>
    <t>RQONE04867793</t>
  </si>
  <si>
    <t>FC-ARA : VehC_SwSPSA / 46.2.0</t>
  </si>
  <si>
    <t>RQONE04870763</t>
  </si>
  <si>
    <t>FC-ARA : AirDvP_SwSPSA / 47.1.0</t>
  </si>
  <si>
    <t>RQONE04870811</t>
  </si>
  <si>
    <t>FC-ARA : CoEng_SwSPSA / 47.1.0</t>
  </si>
  <si>
    <t>RQONE04870824</t>
  </si>
  <si>
    <t>FC-ARA : ComVeh_CSwSPSA / 47.1.0</t>
  </si>
  <si>
    <t>RQONE04870833</t>
  </si>
  <si>
    <t>FC-ARA : ElSS_SwSPSA / 47.1.0</t>
  </si>
  <si>
    <t>RQONE04870836</t>
  </si>
  <si>
    <t>FC-ARA : EngM_SwSPSA / 47.1.0</t>
  </si>
  <si>
    <t>RQONE04870837</t>
  </si>
  <si>
    <t>FC-ARA : EngTmr_SwSPSA / 47.1.0</t>
  </si>
  <si>
    <t>RQONE04870840</t>
  </si>
  <si>
    <t>FC-ARA : Epm_CSwSPSA / 47.1.0</t>
  </si>
  <si>
    <t>RQONE04870843</t>
  </si>
  <si>
    <t>FC-ARA : ExhMod_SwSPSA / 47.1.0</t>
  </si>
  <si>
    <t>RQONE04870846</t>
  </si>
  <si>
    <t>FC-ARA : GlwSys_SwSPSA / 47.1.0</t>
  </si>
  <si>
    <t>RQONE04870848</t>
  </si>
  <si>
    <t>FC-ARA : PwrTrn_SwSPSA / 47.1.0</t>
  </si>
  <si>
    <t>RQONE04870849</t>
  </si>
  <si>
    <t>FC-ARA : SCRCtl_SwSPSA / 47.1.0</t>
  </si>
  <si>
    <t>RQONE04870851</t>
  </si>
  <si>
    <t>FC-ARA : TCE_SwSPSA / 47.1.0</t>
  </si>
  <si>
    <t>RQONE04870852</t>
  </si>
  <si>
    <t>FC-ARA : ThS_SwSPSA / 47.1.0</t>
  </si>
  <si>
    <t>RQONE04870854</t>
  </si>
  <si>
    <t>FC-ARA : VehC_SwSPSA / 47.1.0</t>
  </si>
  <si>
    <t>RQONE04870901</t>
  </si>
  <si>
    <t>FC-ARA : VehDev_SwSPSA / 47.1.0</t>
  </si>
  <si>
    <t>RQONE04871097</t>
  </si>
  <si>
    <t>FC-ARB : ComScl_NetMtrx / 609.352.0</t>
  </si>
  <si>
    <t>Vo Huynh Nhat Tan (MS/EPS21-SWC) (VTA2HC)</t>
  </si>
  <si>
    <t>RQONE04871185</t>
  </si>
  <si>
    <t>FC-ARA : AirMod_SwSPSA / 47.1.0</t>
  </si>
  <si>
    <t>RQONE04871194</t>
  </si>
  <si>
    <t>FC-ARA : BstCtl_SwSPSA / 47.1.0</t>
  </si>
  <si>
    <t>RQONE04871219</t>
  </si>
  <si>
    <t>FC-ARA : ChrCtl_SwSPSA / 47.1.0</t>
  </si>
  <si>
    <t>RQONE04871224</t>
  </si>
  <si>
    <t>FC-ARA : ComDia_SwSPSA / 47.1.0</t>
  </si>
  <si>
    <t>RQONE04871273</t>
  </si>
  <si>
    <t>FC-ARA : DiaBas_SwSPSA / 47.1.0</t>
  </si>
  <si>
    <t>RQONE04871278</t>
  </si>
  <si>
    <t>FC-ARA : ElDev_SwSPSA / 47.1.0</t>
  </si>
  <si>
    <t>RQONE04871289</t>
  </si>
  <si>
    <t>FC-ARA : Epm_SwSPSA / 47.1.0</t>
  </si>
  <si>
    <t>RQONE04871292</t>
  </si>
  <si>
    <t>FC-ARA : FlSply_SwSPSA / 47.1.0</t>
  </si>
  <si>
    <t>RQONE04871296</t>
  </si>
  <si>
    <t>FC-ARA : InjSys_SwSPSA / 47.1.0</t>
  </si>
  <si>
    <t>RQONE04871304</t>
  </si>
  <si>
    <t>FC-ARA : Mo_SwSPSA / 47.1.0</t>
  </si>
  <si>
    <t>RQONE04871308</t>
  </si>
  <si>
    <t>FC-ARA : Oil_SwSPSA / 47.1.0</t>
  </si>
  <si>
    <t>RQONE04871310</t>
  </si>
  <si>
    <t>FC-ARA : PFlt_SwSPSA / 47.1.0</t>
  </si>
  <si>
    <t>RQONE04873607</t>
  </si>
  <si>
    <t>BC : EngTmr / 147.2.0</t>
  </si>
  <si>
    <t>RQONE04873622</t>
  </si>
  <si>
    <t>FC : TiOff_VdTiStrtEndOff / 3.3.0_2.1.0</t>
  </si>
  <si>
    <t>RQONE04875697</t>
  </si>
  <si>
    <t>FC-ARA : ComDia_SwSPSA / 32.46.0</t>
  </si>
  <si>
    <t>RQONE04875700</t>
  </si>
  <si>
    <t>FC-ARA : ComVeh_SwSPSA / 32.46.0</t>
  </si>
  <si>
    <t>RQONE04875706</t>
  </si>
  <si>
    <t>FC-ARA : EngM_SwSPSA / 32.46.0</t>
  </si>
  <si>
    <t>RQONE04875710</t>
  </si>
  <si>
    <t>FC-ARA : EngStrt_SwSPSA / 32.46.0</t>
  </si>
  <si>
    <t>RQONE04875717</t>
  </si>
  <si>
    <t>FC-ARA : VehC_SwSPSA / 32.46.0</t>
  </si>
  <si>
    <t>Test Execution - Clamping in the FC: ComCil_Adapt for PtCom_nClu_VW_PC</t>
  </si>
  <si>
    <t>Change Request Evaluation FD - Clamping in the FC: ComCil_Adapt for PtCom_nClu_VW_PC</t>
  </si>
  <si>
    <t>Implementation - Clamping in the FC: ComCil_Adapt for PtCom_nClu_VW_PC</t>
  </si>
  <si>
    <t xml:space="preserve">14. WorkItem not closed after planned date
13. Estimated Effort / Planned Date is not updated
</t>
  </si>
  <si>
    <t>RQONE04848805</t>
  </si>
  <si>
    <t>[SWSAPSA][DD] -- CAN DD delivery</t>
  </si>
  <si>
    <t>RQONE04856232</t>
  </si>
  <si>
    <t>SCC report for HighPrio Warnings for BC ComVeh/780.33.0;8</t>
  </si>
  <si>
    <t>Hamsa Polenahalli Nagaraju (MS/ECV11-PS) (hpn5kor)</t>
  </si>
  <si>
    <t>RQONE04859943</t>
  </si>
  <si>
    <t>Test Execution - ReUse in MQB: Implementation - EA839evo Audi V6T LK2 EU7: Entwicklung generischer Lösung für Anbindung Secundary OBD ECUs in der Berechnung der CALID</t>
  </si>
  <si>
    <t>RQONE04859944</t>
  </si>
  <si>
    <t>Implementation - ReUse in MQB: Implementation - EA839evo Audi V6T LK2 EU7: Entwicklung generischer Lösung für Anbindung Secundary OBD ECUs in der Berechnung der CALID</t>
  </si>
  <si>
    <t>RQONE04859945</t>
  </si>
  <si>
    <t>Review of Implementation - ReUse in MQB: Implementation - EA839evo Audi V6T LK2 EU7: Entwicklung generischer Lösung für Anbindung Secundary OBD ECUs in der Berechnung der CALID</t>
  </si>
  <si>
    <t>RQONE04860554</t>
  </si>
  <si>
    <t>PVER : VC1CP019_Br1bis_Eu7 / E1C1 - IS1 SwSAPSA Ti-Sched Patch</t>
  </si>
  <si>
    <t>Tiwari Shlok Sagar (MS/EIN1-SWC) (TIH1HYD)</t>
  </si>
  <si>
    <t>RQONE04860582</t>
  </si>
  <si>
    <t>Signal Mapping for CALID/CVN</t>
  </si>
  <si>
    <t>RQONE04863941</t>
  </si>
  <si>
    <t>Review of Implementation - SIRTCom SubCan failed; start up deviation</t>
  </si>
  <si>
    <t>Pruzinec Tibor (PS-SC/EFV4) (prt83wi)</t>
  </si>
  <si>
    <t>RQONE04864193</t>
  </si>
  <si>
    <t>Interface Clearing</t>
  </si>
  <si>
    <t>Interface Clearance for Com_mfFanDes</t>
  </si>
  <si>
    <t>Murugan Sakkarai (MS/ECV62-PS) (MSK3COB)</t>
  </si>
  <si>
    <t>BM-00090880_004  FC</t>
  </si>
  <si>
    <t>RQONE04864977</t>
  </si>
  <si>
    <t>Change Request Evaluation FD - Robustheitsmaßnahme für COMScl 10ms - BC : ComVeh / 504.33.0_2.2.0</t>
  </si>
  <si>
    <t>RQONE04864978</t>
  </si>
  <si>
    <t>Implementation - Robustheitsmaßnahme für COMScl 10ms - BC : ComVeh / 504.33.0_2.2.0 - Part 1</t>
  </si>
  <si>
    <t>RQONE04864979</t>
  </si>
  <si>
    <t>Implementation - Robustheitsmaßnahme für COMScl 10ms - BC : ComVeh / 504.33.0_2.2.0 - Part 2</t>
  </si>
  <si>
    <t>RQONE04864980</t>
  </si>
  <si>
    <t>Review of Implementation - Robustheitsmaßnahme für COMScl 10ms - BC : ComVeh / 504.33.0_2.2.0</t>
  </si>
  <si>
    <t>RQONE04864981</t>
  </si>
  <si>
    <t>Test Execution - Robustheitsmaßnahme für COMScl 10ms - BC : ComVeh / 504.33.0_2.2.0 - Part 1</t>
  </si>
  <si>
    <t>RQONE04864982</t>
  </si>
  <si>
    <t>Test Execution - Robustheitsmaßnahme für COMScl 10ms - BC : ComVeh / 504.33.0_2.2.0 - Part 2</t>
  </si>
  <si>
    <t>RQONE04865013</t>
  </si>
  <si>
    <t>Project Management - Robustheitsmaßnahme für COMScl 10ms - BC : ComVeh / 504.33.0_2.2.0</t>
  </si>
  <si>
    <t>RQONE04866529</t>
  </si>
  <si>
    <t>Implementation - Robustness_Measure for MQBEvo: Ensuring the mutual exclusivity of interfaces writing to the signal MO_Solldrehz_Leerlauf</t>
  </si>
  <si>
    <t>RQONE04866533</t>
  </si>
  <si>
    <t>Test Execution - Robustness_Measure for MQBEvo: Ensuring the mutual exclusivity of interfaces writing to the signal MO_Solldrehz_Leerlauf</t>
  </si>
  <si>
    <t>RQONE04866536</t>
  </si>
  <si>
    <t>Review of Implementation - Robustness_Measure for MQBEvo: Ensuring the mutual exclusivity of interfaces writing to the signal MO_Solldrehz_Leerlauf</t>
  </si>
  <si>
    <t>RQONE04868436</t>
  </si>
  <si>
    <t>RQONE04868449</t>
  </si>
  <si>
    <t>SwQT</t>
  </si>
  <si>
    <t>RQONE04868450</t>
  </si>
  <si>
    <t>Code Review</t>
  </si>
  <si>
    <t>RQONE04868453</t>
  </si>
  <si>
    <t>Review (Specification &amp; SwQT)</t>
  </si>
  <si>
    <t>RQONE04868454</t>
  </si>
  <si>
    <t>Requirement Review</t>
  </si>
  <si>
    <t>RQONE04868455</t>
  </si>
  <si>
    <t>UT</t>
  </si>
  <si>
    <t>RQONE04869339</t>
  </si>
  <si>
    <t>Workitem-BC: RQONE04717408 - Regression test for ONEBOX (Porche) project - SUBCAN - BC : ComVeh / 609.46.0</t>
  </si>
  <si>
    <t>RQONE04869344</t>
  </si>
  <si>
    <t>RQONE04869448</t>
  </si>
  <si>
    <t>RQONE04869631</t>
  </si>
  <si>
    <t>NM available and active (calibrated?) for SUB-CAN for the EA288 projects?</t>
  </si>
  <si>
    <t>Brandner Manuel (PS-SC/ECV4) (brl82wi)</t>
  </si>
  <si>
    <t>BM-00093912_001</t>
  </si>
  <si>
    <t>RQONE04870964</t>
  </si>
  <si>
    <t>Change Request Evaluation FD - ##Bedienung des Vernetzungs-Signals [OBD_SpecialReadinessCondition] und Berücksichtigung des Signals bei der Motorsteuergerät-internen Readiness-Berechnung#30-2025#2912656#2912656 - ComVeh</t>
  </si>
  <si>
    <t>RQONE04870971</t>
  </si>
  <si>
    <t>Implementation - ##Bedienung des Vernetzungs-Signals [OBD_SpecialReadinessCondition] und Berücksichtigung des Signals bei der Motorsteuergerät-internen Readiness-Berechnung#30-2025#2912656#2912656 - ComVeh</t>
  </si>
  <si>
    <t>RQONE04870974</t>
  </si>
  <si>
    <t>Review of Implementation - ##Bedienung des Vernetzungs-Signals [OBD_SpecialReadinessCondition] und Berücksichtigung des Signals bei der Motorsteuergerät-internen Readiness-Berechnung#30-2025#2912656#2912656 - ComVeh</t>
  </si>
  <si>
    <t>RQONE04870981</t>
  </si>
  <si>
    <t>Test Execution - ##Bedienung des Vernetzungs-Signals [OBD_SpecialReadinessCondition] und Berücksichtigung des Signals bei der Motorsteuergerät-internen Readiness-Berechnung#30-2025#2912656#2912656 - ComVeh</t>
  </si>
  <si>
    <t>RQONE04872504</t>
  </si>
  <si>
    <t>[COM][0_Coord] - P-Res Coord - [MG1CS052]_EU7_01552_22_02754_v12_1_CARASI_eCAT_MHEV_PHEV_EURO_7_P2_VC2_1</t>
  </si>
  <si>
    <t>RQONE04872507</t>
  </si>
  <si>
    <t>RQONE04872511</t>
  </si>
  <si>
    <t>RQONE04872513</t>
  </si>
  <si>
    <t>RQONE04872514</t>
  </si>
  <si>
    <t>RQONE04872515</t>
  </si>
  <si>
    <t>RQONE04872517</t>
  </si>
  <si>
    <t>[MG1CS052]_EU7_01552_22_02754_v12_1_CARASI_eCAT_MHEV_PHEV_EURO_7_P2_VC2_1 -- [RbD_FD][5_TestSpec] -- Test Specification (FCF,URT,SFT)</t>
  </si>
  <si>
    <t>RQONE04872518</t>
  </si>
  <si>
    <t>[MG1CS052]_EU7_01552_22_02754_v12_1_CARASI_eCAT_MHEV_PHEV_EURO_7_P2_VC2_1 -- [RbD_FD][6_FnRvw] -- Function Review</t>
  </si>
  <si>
    <t>RQONE04872520</t>
  </si>
  <si>
    <t>[MG1CS052]_EU7_01552_22_02754_v12_1_CARASI_eCAT_MHEV_PHEV_EURO_7_P2_VC2_1 -- [RbD_FD][7_Cdng] -- Coding</t>
  </si>
  <si>
    <t>RQONE04872522</t>
  </si>
  <si>
    <t>[MG1CS052]_EU7_01552_22_02754_v12_1_CARASI_eCAT_MHEV_PHEV_EURO_7_P2_VC2_1 -- [RbD_FD][8_ImplRvw] -- Implementation Review</t>
  </si>
  <si>
    <t>RQONE04872524</t>
  </si>
  <si>
    <t>[MG1CS052]_EU7_01552_22_02754_v12_1_CARASI_eCAT_MHEV_PHEV_EURO_7_P2_VC2_1 -- [RbD_FD][9_TestExec] -- Test Execution (FCF,URT,SFT)</t>
  </si>
  <si>
    <t>RQONE04872525</t>
  </si>
  <si>
    <t>[MG1CS052]_EU7_01552_22_02754_v12_1_CARASI_eCAT_MHEV_PHEV_EURO_7_P2_VC2_1 -- [RbD_FD][10_PltCal] -- Pilot Calibration</t>
  </si>
  <si>
    <t>RQONE04873331</t>
  </si>
  <si>
    <t>RQONE04873332</t>
  </si>
  <si>
    <t>FC : OilSepActr_Ctrl / 3.12.0_1.3.0 - UT</t>
  </si>
  <si>
    <t>RQONE04873334</t>
  </si>
  <si>
    <t>FC : OilSepActr_Ctrl / 3.12.0_1.3.0 - Review (Specification &amp; SwQT)</t>
  </si>
  <si>
    <t>RQONE04873336</t>
  </si>
  <si>
    <t>FC : OilSepActr_Ctrl / 3.12.0_1.3.0 - Coding</t>
  </si>
  <si>
    <t>RQONE04873337</t>
  </si>
  <si>
    <t>FC : OilSepActr_Ctrl / 3.12.0_1.3.0 - Code Review</t>
  </si>
  <si>
    <t>RQONE04873338</t>
  </si>
  <si>
    <t>RQONE04874477</t>
  </si>
  <si>
    <t>Regression test- Cubas Com-Stack VW: Zykluszeit-Verletzungen nach CAN WakeUp</t>
  </si>
  <si>
    <t>Grade Lehmann Holger (PS-SC/EFV4) (LEH1WI)</t>
  </si>
  <si>
    <t>BM-00069377_006 25%
BM-00090880_002 25%
BM-00069361_010 25%
BM-00061092_010 25%</t>
  </si>
  <si>
    <t>RQONE04875789</t>
  </si>
  <si>
    <t>SWA Warning analysis for BC:ComVeh / 709.37.0;6 in PVER : DMG1203A06C2612 / MA27C60; 1</t>
  </si>
  <si>
    <t>Tripathi Vipin (MS/ECV21-PS) (VFP2KOR)</t>
  </si>
  <si>
    <t>RQONE04876357</t>
  </si>
  <si>
    <t>RQONE04876512</t>
  </si>
  <si>
    <t>PVER : VC1CP019_Br2 / W1130C- IS2 SwSAPSA Dysched Patch</t>
  </si>
  <si>
    <r>
      <t>RQONE04646078</t>
    </r>
    <r>
      <rPr>
        <sz val="10"/>
        <rFont val="Arial"/>
      </rPr>
      <t xml:space="preserve">
Phan Manh Cuong (MS/EPC42-PS)</t>
    </r>
  </si>
  <si>
    <r>
      <t>RQONE04660717</t>
    </r>
    <r>
      <rPr>
        <sz val="10"/>
        <rFont val="Arial"/>
      </rPr>
      <t xml:space="preserve">
Phan Manh Cuong (MS/EPC42-PS)</t>
    </r>
  </si>
  <si>
    <r>
      <t>RQONE04676801</t>
    </r>
    <r>
      <rPr>
        <sz val="10"/>
        <rFont val="Arial"/>
      </rPr>
      <t xml:space="preserve">
Phan Manh Cuong (MS/EPC42-PS)</t>
    </r>
  </si>
  <si>
    <r>
      <t>RQONE04689901</t>
    </r>
    <r>
      <rPr>
        <sz val="10"/>
        <rFont val="Arial"/>
      </rPr>
      <t xml:space="preserve">
Phan Manh Cuong (MS/EPC42-PS)</t>
    </r>
  </si>
  <si>
    <r>
      <t>RQONE04708616</t>
    </r>
    <r>
      <rPr>
        <sz val="10"/>
        <rFont val="Arial"/>
      </rPr>
      <t xml:space="preserve">
Vo Huynh Nhat Tan (MS/EPS21-SWC)</t>
    </r>
  </si>
  <si>
    <r>
      <t>RQONE04794776</t>
    </r>
    <r>
      <rPr>
        <sz val="10"/>
        <rFont val="Arial"/>
      </rPr>
      <t xml:space="preserve">
Dang Sy Binh (MS/EPC42-PS)</t>
    </r>
  </si>
  <si>
    <r>
      <t>RQONE04797460</t>
    </r>
    <r>
      <rPr>
        <sz val="10"/>
        <rFont val="Arial"/>
      </rPr>
      <t xml:space="preserve">
Truong Van Ngoc Em (MS/EPC42-PS)</t>
    </r>
  </si>
  <si>
    <r>
      <t>RQONE04805325</t>
    </r>
    <r>
      <rPr>
        <sz val="10"/>
        <rFont val="Arial"/>
      </rPr>
      <t xml:space="preserve">
Phan Manh Cuong (MS/EPC42-PS)</t>
    </r>
  </si>
  <si>
    <r>
      <t>RQONE04810403</t>
    </r>
    <r>
      <rPr>
        <sz val="10"/>
        <rFont val="Arial"/>
      </rPr>
      <t xml:space="preserve">
Dang Dinh Gia Bao (MS/EPC42-PS)</t>
    </r>
  </si>
  <si>
    <r>
      <t>RQONE04836603</t>
    </r>
    <r>
      <rPr>
        <sz val="10"/>
        <rFont val="Arial"/>
      </rPr>
      <t xml:space="preserve">
Vo Huynh Nhat Tan (MS/EPS21-SWC)</t>
    </r>
  </si>
  <si>
    <r>
      <t>RQONE04844645</t>
    </r>
    <r>
      <rPr>
        <sz val="10"/>
        <rFont val="Arial"/>
      </rPr>
      <t xml:space="preserve">
Dang Dinh Gia Bao (MS/EPC42-PS)</t>
    </r>
  </si>
  <si>
    <r>
      <t>RQONE04845337</t>
    </r>
    <r>
      <rPr>
        <sz val="10"/>
        <rFont val="Arial"/>
      </rPr>
      <t xml:space="preserve">
Dang Sy Binh (MS/EPC42-PS)</t>
    </r>
  </si>
  <si>
    <r>
      <t>RQONE04860926</t>
    </r>
    <r>
      <rPr>
        <sz val="10"/>
        <rFont val="Arial"/>
      </rPr>
      <t xml:space="preserve">
Truong Van Ngoc Em (MS/EPC42-PS)</t>
    </r>
  </si>
  <si>
    <r>
      <t>RQONE04861556</t>
    </r>
    <r>
      <rPr>
        <sz val="10"/>
        <rFont val="Arial"/>
      </rPr>
      <t xml:space="preserve">
Le Do Nguyen Chuong (MS/EPC42-PS)</t>
    </r>
  </si>
  <si>
    <r>
      <t>RQONE04863652</t>
    </r>
    <r>
      <rPr>
        <sz val="10"/>
        <rFont val="Arial"/>
      </rPr>
      <t xml:space="preserve">
Pham Minh Quan (MS/EPS21-SWC)</t>
    </r>
  </si>
  <si>
    <r>
      <t>RQONE04865476</t>
    </r>
    <r>
      <rPr>
        <sz val="10"/>
        <rFont val="Arial"/>
      </rPr>
      <t xml:space="preserve">
Khuat Duy Nguyen (MS/EPC42-PS)</t>
    </r>
  </si>
  <si>
    <r>
      <t>RQONE04867265</t>
    </r>
    <r>
      <rPr>
        <sz val="10"/>
        <rFont val="Arial"/>
      </rPr>
      <t xml:space="preserve">
Pham Nguyen Ngoc Toan (MS/EPC42-PS)</t>
    </r>
  </si>
  <si>
    <r>
      <t>RQONE04868434</t>
    </r>
    <r>
      <rPr>
        <sz val="10"/>
        <rFont val="Arial"/>
      </rPr>
      <t xml:space="preserve">
Le Do Nguyen Chuong (MS/EPC42-PS)</t>
    </r>
  </si>
  <si>
    <r>
      <t>RQONE04868928</t>
    </r>
    <r>
      <rPr>
        <sz val="10"/>
        <rFont val="Arial"/>
      </rPr>
      <t xml:space="preserve">
Pham Nguyen Ngoc Toan (MS/EPC42-PS)</t>
    </r>
  </si>
  <si>
    <r>
      <t>RQONE04868935</t>
    </r>
    <r>
      <rPr>
        <sz val="10"/>
        <rFont val="Arial"/>
      </rPr>
      <t xml:space="preserve">
Nguyen Dang Ngung (MS/EPC42-PS)</t>
    </r>
  </si>
  <si>
    <r>
      <t>RQONE04869446</t>
    </r>
    <r>
      <rPr>
        <sz val="10"/>
        <rFont val="Arial"/>
      </rPr>
      <t xml:space="preserve">
Nguyen Huu Dat (MS/EPC42-PS)</t>
    </r>
  </si>
  <si>
    <r>
      <t>RQONE04871018</t>
    </r>
    <r>
      <rPr>
        <sz val="10"/>
        <rFont val="Arial"/>
      </rPr>
      <t xml:space="preserve">
Le Do Nguyen Chuong (MS/EPC42-PS)</t>
    </r>
  </si>
  <si>
    <r>
      <t>RQONE04872664</t>
    </r>
    <r>
      <rPr>
        <sz val="10"/>
        <rFont val="Arial"/>
      </rPr>
      <t xml:space="preserve">
Pham Nguyen Ngoc Toan (MS/EPC42-PS)</t>
    </r>
  </si>
  <si>
    <r>
      <t>RQONE04872678</t>
    </r>
    <r>
      <rPr>
        <sz val="10"/>
        <rFont val="Arial"/>
      </rPr>
      <t xml:space="preserve">
Pham Nguyen Ngoc Toan (MS/EPC42-PS)</t>
    </r>
  </si>
  <si>
    <r>
      <t>RQONE04872984</t>
    </r>
    <r>
      <rPr>
        <sz val="10"/>
        <rFont val="Arial"/>
      </rPr>
      <t xml:space="preserve">
Truong Chi Long (MS/EPC42-PS)</t>
    </r>
  </si>
  <si>
    <t>New (31)</t>
  </si>
  <si>
    <t>Conflicted (10)</t>
  </si>
  <si>
    <t>Evaluated (31)</t>
  </si>
  <si>
    <t>Committed (42)</t>
  </si>
  <si>
    <t>Implemented (11)</t>
  </si>
  <si>
    <t>Issue (125)</t>
  </si>
  <si>
    <r>
      <t>RQONE03958625</t>
    </r>
    <r>
      <rPr>
        <sz val="10"/>
        <rFont val="Arial"/>
      </rPr>
      <t xml:space="preserve">
Phan Manh Cuong (MS/EPC42-PS)
12/31/2025</t>
    </r>
  </si>
  <si>
    <r>
      <t>RQONE04614806</t>
    </r>
    <r>
      <rPr>
        <sz val="10"/>
        <rFont val="Arial"/>
      </rPr>
      <t xml:space="preserve">
Le Do Nguyen Chuong (MS/EPC42-PS)
11/20/2025</t>
    </r>
  </si>
  <si>
    <r>
      <t>RQONE04651892</t>
    </r>
    <r>
      <rPr>
        <sz val="10"/>
        <rFont val="Arial"/>
      </rPr>
      <t xml:space="preserve">
Phan Manh Cuong (MS/EPC42-PS)
12/12/2025</t>
    </r>
  </si>
  <si>
    <r>
      <t>RQONE04659895</t>
    </r>
    <r>
      <rPr>
        <sz val="10"/>
        <rFont val="Arial"/>
      </rPr>
      <t xml:space="preserve">
Phan Manh Cuong (MS/EPC42-PS)
2/20/2026</t>
    </r>
  </si>
  <si>
    <r>
      <t>RQONE04754792</t>
    </r>
    <r>
      <rPr>
        <sz val="10"/>
        <rFont val="Arial"/>
      </rPr>
      <t xml:space="preserve">
Le Do Nguyen Chuong (MS/EPC42-PS)
11/7/2025</t>
    </r>
  </si>
  <si>
    <r>
      <t>RQONE04757130</t>
    </r>
    <r>
      <rPr>
        <sz val="10"/>
        <rFont val="Arial"/>
      </rPr>
      <t xml:space="preserve">
Dao Phi Duong (MS/EPC42-PS)
11/28/2025</t>
    </r>
  </si>
  <si>
    <r>
      <t>RQONE04778611</t>
    </r>
    <r>
      <rPr>
        <sz val="10"/>
        <rFont val="Arial"/>
      </rPr>
      <t xml:space="preserve">
Truong Van Ngoc Em (MS/EPC42-PS)
12/19/2025</t>
    </r>
  </si>
  <si>
    <r>
      <t>RQONE04793637</t>
    </r>
    <r>
      <rPr>
        <sz val="10"/>
        <rFont val="Arial"/>
      </rPr>
      <t xml:space="preserve">
Nguyen Le Thanh Loc (MS/EPC42-PS)
11/26/2025</t>
    </r>
  </si>
  <si>
    <r>
      <t>RQONE04795453</t>
    </r>
    <r>
      <rPr>
        <sz val="10"/>
        <rFont val="Arial"/>
      </rPr>
      <t xml:space="preserve">
Nguyen Huu Dat (MS/EPC42-PS)
11/28/2025</t>
    </r>
  </si>
  <si>
    <r>
      <t>RQONE04805324</t>
    </r>
    <r>
      <rPr>
        <sz val="10"/>
        <rFont val="Arial"/>
      </rPr>
      <t xml:space="preserve">
Phan Manh Cuong (MS/EPC42-PS)
12/30/2025</t>
    </r>
  </si>
  <si>
    <r>
      <t>RQONE04807954</t>
    </r>
    <r>
      <rPr>
        <sz val="10"/>
        <rFont val="Arial"/>
      </rPr>
      <t xml:space="preserve">
Nguyen Huu Dat (MS/EPC42-PS)
11/28/2025</t>
    </r>
  </si>
  <si>
    <r>
      <t>RQONE04811614</t>
    </r>
    <r>
      <rPr>
        <sz val="10"/>
        <rFont val="Arial"/>
      </rPr>
      <t xml:space="preserve">
Nguyen Huu Dat (MS/EPC42-PS)
11/28/2025</t>
    </r>
  </si>
  <si>
    <r>
      <t>RQONE04822882</t>
    </r>
    <r>
      <rPr>
        <sz val="10"/>
        <rFont val="Arial"/>
      </rPr>
      <t xml:space="preserve">
Phan Manh Cuong (MS/EPC42-PS)
12/19/2025</t>
    </r>
  </si>
  <si>
    <r>
      <t>RQONE04835071</t>
    </r>
    <r>
      <rPr>
        <sz val="10"/>
        <rFont val="Arial"/>
      </rPr>
      <t xml:space="preserve">
Dao Phi Duong (MS/EPC42-PS)
11/28/2025</t>
    </r>
  </si>
  <si>
    <r>
      <t>RQONE04835129</t>
    </r>
    <r>
      <rPr>
        <sz val="10"/>
        <rFont val="Arial"/>
      </rPr>
      <t xml:space="preserve">
Dao Phi Duong (MS/EPC42-PS)
11/28/2025</t>
    </r>
  </si>
  <si>
    <r>
      <t>RQONE04835140</t>
    </r>
    <r>
      <rPr>
        <sz val="10"/>
        <rFont val="Arial"/>
      </rPr>
      <t xml:space="preserve">
Dao Phi Duong (MS/EPC42-PS)
11/28/2025</t>
    </r>
  </si>
  <si>
    <r>
      <t>RQONE04835144</t>
    </r>
    <r>
      <rPr>
        <sz val="10"/>
        <rFont val="Arial"/>
      </rPr>
      <t xml:space="preserve">
Dao Phi Duong (MS/EPC42-PS)
11/28/2025</t>
    </r>
  </si>
  <si>
    <r>
      <t>RQONE04843995</t>
    </r>
    <r>
      <rPr>
        <sz val="10"/>
        <rFont val="Arial"/>
      </rPr>
      <t xml:space="preserve">
Truong Van Ngoc Em (MS/EPC42-PS)
2/6/2026</t>
    </r>
  </si>
  <si>
    <r>
      <t>RQONE04853324</t>
    </r>
    <r>
      <rPr>
        <sz val="10"/>
        <rFont val="Arial"/>
      </rPr>
      <t xml:space="preserve">
Le Do Nguyen Chuong (MS/EPC42-PS)
12/5/2025</t>
    </r>
  </si>
  <si>
    <r>
      <t>RQONE04854628</t>
    </r>
    <r>
      <rPr>
        <sz val="10"/>
        <rFont val="Arial"/>
      </rPr>
      <t xml:space="preserve">
Le Do Nguyen Chuong (MS/EPC42-PS)
12/3/2025</t>
    </r>
  </si>
  <si>
    <r>
      <t>RQONE04861682</t>
    </r>
    <r>
      <rPr>
        <sz val="10"/>
        <rFont val="Arial"/>
      </rPr>
      <t xml:space="preserve">
Truong Van Ngoc Em (MS/EPC42-PS)
</t>
    </r>
  </si>
  <si>
    <r>
      <t>RQONE04861847</t>
    </r>
    <r>
      <rPr>
        <sz val="10"/>
        <rFont val="Arial"/>
      </rPr>
      <t xml:space="preserve">
Khuat Duy Nguyen (MS/EPC42-PS)
1/23/2026</t>
    </r>
  </si>
  <si>
    <r>
      <t>RQONE04861852</t>
    </r>
    <r>
      <rPr>
        <sz val="10"/>
        <rFont val="Arial"/>
      </rPr>
      <t xml:space="preserve">
Khuat Duy Nguyen (MS/EPC42-PS)
1/23/2026</t>
    </r>
  </si>
  <si>
    <r>
      <t>RQONE04864069</t>
    </r>
    <r>
      <rPr>
        <sz val="10"/>
        <rFont val="Arial"/>
      </rPr>
      <t xml:space="preserve">
Nguyen Huu Dat (MS/EPC42-PS)
11/28/2025</t>
    </r>
  </si>
  <si>
    <r>
      <t>RQONE04864183</t>
    </r>
    <r>
      <rPr>
        <sz val="10"/>
        <rFont val="Arial"/>
      </rPr>
      <t xml:space="preserve">
Le Do Nguyen Chuong (MS/EPC42-PS)
12/31/2025</t>
    </r>
  </si>
  <si>
    <r>
      <t>RQONE04864190</t>
    </r>
    <r>
      <rPr>
        <sz val="10"/>
        <rFont val="Arial"/>
      </rPr>
      <t xml:space="preserve">
Le Do Nguyen Chuong (MS/EPC42-PS)
12/31/2025</t>
    </r>
  </si>
  <si>
    <r>
      <t>RQONE04867752</t>
    </r>
    <r>
      <rPr>
        <sz val="10"/>
        <rFont val="Arial"/>
      </rPr>
      <t xml:space="preserve">
Le Do Nguyen Chuong (MS/EPC42-PS)
1/3/2026</t>
    </r>
  </si>
  <si>
    <r>
      <t>RQONE04867793</t>
    </r>
    <r>
      <rPr>
        <sz val="10"/>
        <rFont val="Arial"/>
      </rPr>
      <t xml:space="preserve">
Le Do Nguyen Chuong (MS/EPC42-PS)
1/3/2026</t>
    </r>
  </si>
  <si>
    <r>
      <t>RQONE04870763</t>
    </r>
    <r>
      <rPr>
        <sz val="10"/>
        <rFont val="Arial"/>
      </rPr>
      <t xml:space="preserve">
Bui Sy Quan (MS/EPC42-PS)
12/30/2025</t>
    </r>
  </si>
  <si>
    <r>
      <t>RQONE04870811</t>
    </r>
    <r>
      <rPr>
        <sz val="10"/>
        <rFont val="Arial"/>
      </rPr>
      <t xml:space="preserve">
Bui Sy Quan (MS/EPC42-PS)
12/30/2025</t>
    </r>
  </si>
  <si>
    <r>
      <t>RQONE04870824</t>
    </r>
    <r>
      <rPr>
        <sz val="10"/>
        <rFont val="Arial"/>
      </rPr>
      <t xml:space="preserve">
Bui Sy Quan (MS/EPC42-PS)
12/30/2025</t>
    </r>
  </si>
  <si>
    <r>
      <t>RQONE04870833</t>
    </r>
    <r>
      <rPr>
        <sz val="10"/>
        <rFont val="Arial"/>
      </rPr>
      <t xml:space="preserve">
Bui Sy Quan (MS/EPC42-PS)
12/30/2025</t>
    </r>
  </si>
  <si>
    <r>
      <t>RQONE04870836</t>
    </r>
    <r>
      <rPr>
        <sz val="10"/>
        <rFont val="Arial"/>
      </rPr>
      <t xml:space="preserve">
Bui Sy Quan (MS/EPC42-PS)
12/30/2025</t>
    </r>
  </si>
  <si>
    <r>
      <t>RQONE04870837</t>
    </r>
    <r>
      <rPr>
        <sz val="10"/>
        <rFont val="Arial"/>
      </rPr>
      <t xml:space="preserve">
Bui Sy Quan (MS/EPC42-PS)
12/30/2025</t>
    </r>
  </si>
  <si>
    <r>
      <t>RQONE04870840</t>
    </r>
    <r>
      <rPr>
        <sz val="10"/>
        <rFont val="Arial"/>
      </rPr>
      <t xml:space="preserve">
Bui Sy Quan (MS/EPC42-PS)
12/30/2025</t>
    </r>
  </si>
  <si>
    <r>
      <t>RQONE04870843</t>
    </r>
    <r>
      <rPr>
        <sz val="10"/>
        <rFont val="Arial"/>
      </rPr>
      <t xml:space="preserve">
Bui Sy Quan (MS/EPC42-PS)
12/30/2025</t>
    </r>
  </si>
  <si>
    <r>
      <t>RQONE04870846</t>
    </r>
    <r>
      <rPr>
        <sz val="10"/>
        <rFont val="Arial"/>
      </rPr>
      <t xml:space="preserve">
Bui Sy Quan (MS/EPC42-PS)
12/30/2025</t>
    </r>
  </si>
  <si>
    <r>
      <t>RQONE04870848</t>
    </r>
    <r>
      <rPr>
        <sz val="10"/>
        <rFont val="Arial"/>
      </rPr>
      <t xml:space="preserve">
Bui Sy Quan (MS/EPC42-PS)
12/30/2025</t>
    </r>
  </si>
  <si>
    <r>
      <t>RQONE04870849</t>
    </r>
    <r>
      <rPr>
        <sz val="10"/>
        <rFont val="Arial"/>
      </rPr>
      <t xml:space="preserve">
Bui Sy Quan (MS/EPC42-PS)
12/30/2025</t>
    </r>
  </si>
  <si>
    <r>
      <t>RQONE04870851</t>
    </r>
    <r>
      <rPr>
        <sz val="10"/>
        <rFont val="Arial"/>
      </rPr>
      <t xml:space="preserve">
Bui Sy Quan (MS/EPC42-PS)
12/30/2025</t>
    </r>
  </si>
  <si>
    <r>
      <t>RQONE04870852</t>
    </r>
    <r>
      <rPr>
        <sz val="10"/>
        <rFont val="Arial"/>
      </rPr>
      <t xml:space="preserve">
Bui Sy Quan (MS/EPC42-PS)
12/30/2025</t>
    </r>
  </si>
  <si>
    <r>
      <t>RQONE04870854</t>
    </r>
    <r>
      <rPr>
        <sz val="10"/>
        <rFont val="Arial"/>
      </rPr>
      <t xml:space="preserve">
Bui Sy Quan (MS/EPC42-PS)
12/30/2025</t>
    </r>
  </si>
  <si>
    <r>
      <t>RQONE04870901</t>
    </r>
    <r>
      <rPr>
        <sz val="10"/>
        <rFont val="Arial"/>
      </rPr>
      <t xml:space="preserve">
Bui Sy Quan (MS/EPC42-PS)
12/30/2025</t>
    </r>
  </si>
  <si>
    <r>
      <t>RQONE04871097</t>
    </r>
    <r>
      <rPr>
        <sz val="10"/>
        <rFont val="Arial"/>
      </rPr>
      <t xml:space="preserve">
Vo Huynh Nhat Tan (MS/EPS21-SWC)
12/12/2025</t>
    </r>
  </si>
  <si>
    <r>
      <t>RQONE04871185</t>
    </r>
    <r>
      <rPr>
        <sz val="10"/>
        <rFont val="Arial"/>
      </rPr>
      <t xml:space="preserve">
Dao Phi Duong (MS/EPC42-PS)
11/28/2025</t>
    </r>
  </si>
  <si>
    <r>
      <t>RQONE04871194</t>
    </r>
    <r>
      <rPr>
        <sz val="10"/>
        <rFont val="Arial"/>
      </rPr>
      <t xml:space="preserve">
Dao Phi Duong (MS/EPC42-PS)
11/28/2025</t>
    </r>
  </si>
  <si>
    <r>
      <t>RQONE04871219</t>
    </r>
    <r>
      <rPr>
        <sz val="10"/>
        <rFont val="Arial"/>
      </rPr>
      <t xml:space="preserve">
Dao Phi Duong (MS/EPC42-PS)
11/28/2025</t>
    </r>
  </si>
  <si>
    <r>
      <t>RQONE04871224</t>
    </r>
    <r>
      <rPr>
        <sz val="10"/>
        <rFont val="Arial"/>
      </rPr>
      <t xml:space="preserve">
Dao Phi Duong (MS/EPC42-PS)
11/28/2025</t>
    </r>
  </si>
  <si>
    <r>
      <t>RQONE04871273</t>
    </r>
    <r>
      <rPr>
        <sz val="10"/>
        <rFont val="Arial"/>
      </rPr>
      <t xml:space="preserve">
Dao Phi Duong (MS/EPC42-PS)
11/28/2025</t>
    </r>
  </si>
  <si>
    <r>
      <t>RQONE04871278</t>
    </r>
    <r>
      <rPr>
        <sz val="10"/>
        <rFont val="Arial"/>
      </rPr>
      <t xml:space="preserve">
Dao Phi Duong (MS/EPC42-PS)
11/28/2025</t>
    </r>
  </si>
  <si>
    <r>
      <t>RQONE04871289</t>
    </r>
    <r>
      <rPr>
        <sz val="10"/>
        <rFont val="Arial"/>
      </rPr>
      <t xml:space="preserve">
Dao Phi Duong (MS/EPC42-PS)
11/28/2025</t>
    </r>
  </si>
  <si>
    <r>
      <t>RQONE04871292</t>
    </r>
    <r>
      <rPr>
        <sz val="10"/>
        <rFont val="Arial"/>
      </rPr>
      <t xml:space="preserve">
Dao Phi Duong (MS/EPC42-PS)
11/28/2025</t>
    </r>
  </si>
  <si>
    <r>
      <t>RQONE04871296</t>
    </r>
    <r>
      <rPr>
        <sz val="10"/>
        <rFont val="Arial"/>
      </rPr>
      <t xml:space="preserve">
Dao Phi Duong (MS/EPC42-PS)
11/28/2025</t>
    </r>
  </si>
  <si>
    <r>
      <t>RQONE04871304</t>
    </r>
    <r>
      <rPr>
        <sz val="10"/>
        <rFont val="Arial"/>
      </rPr>
      <t xml:space="preserve">
Dao Phi Duong (MS/EPC42-PS)
11/28/2025</t>
    </r>
  </si>
  <si>
    <r>
      <t>RQONE04871308</t>
    </r>
    <r>
      <rPr>
        <sz val="10"/>
        <rFont val="Arial"/>
      </rPr>
      <t xml:space="preserve">
Dao Phi Duong (MS/EPC42-PS)
11/28/2025</t>
    </r>
  </si>
  <si>
    <r>
      <t>RQONE04871310</t>
    </r>
    <r>
      <rPr>
        <sz val="10"/>
        <rFont val="Arial"/>
      </rPr>
      <t xml:space="preserve">
Dao Phi Duong (MS/EPC42-PS)
11/28/2025</t>
    </r>
  </si>
  <si>
    <r>
      <t>RQONE04873607</t>
    </r>
    <r>
      <rPr>
        <sz val="10"/>
        <rFont val="Arial"/>
      </rPr>
      <t xml:space="preserve">
Truong Chi Long (MS/EPC42-PS)
11/28/2025</t>
    </r>
  </si>
  <si>
    <r>
      <t>RQONE04873622</t>
    </r>
    <r>
      <rPr>
        <sz val="10"/>
        <rFont val="Arial"/>
      </rPr>
      <t xml:space="preserve">
Truong Chi Long (MS/EPC42-PS)
11/28/2025</t>
    </r>
  </si>
  <si>
    <r>
      <t>RQONE04875697</t>
    </r>
    <r>
      <rPr>
        <sz val="10"/>
        <rFont val="Arial"/>
      </rPr>
      <t xml:space="preserve">
Dao Phi Duong (MS/EPC42-PS)
12/31/2025</t>
    </r>
  </si>
  <si>
    <r>
      <t>RQONE04875700</t>
    </r>
    <r>
      <rPr>
        <sz val="10"/>
        <rFont val="Arial"/>
      </rPr>
      <t xml:space="preserve">
Dao Phi Duong (MS/EPC42-PS)
12/31/2025</t>
    </r>
  </si>
  <si>
    <r>
      <t>RQONE04875706</t>
    </r>
    <r>
      <rPr>
        <sz val="10"/>
        <rFont val="Arial"/>
      </rPr>
      <t xml:space="preserve">
Dao Phi Duong (MS/EPC42-PS)
12/31/2025</t>
    </r>
  </si>
  <si>
    <r>
      <t>RQONE04875710</t>
    </r>
    <r>
      <rPr>
        <sz val="10"/>
        <rFont val="Arial"/>
      </rPr>
      <t xml:space="preserve">
Dao Phi Duong (MS/EPC42-PS)
12/31/2025</t>
    </r>
  </si>
  <si>
    <r>
      <t>RQONE04875717</t>
    </r>
    <r>
      <rPr>
        <sz val="10"/>
        <rFont val="Arial"/>
      </rPr>
      <t xml:space="preserve">
Dao Phi Duong (MS/EPC42-PS)
12/31/2025</t>
    </r>
  </si>
  <si>
    <t>New (9)</t>
  </si>
  <si>
    <t>Conflicted (22)</t>
  </si>
  <si>
    <t>Requested (22)</t>
  </si>
  <si>
    <t>Planned (271)</t>
  </si>
  <si>
    <t>Developed (1)</t>
  </si>
  <si>
    <t>Release (325)</t>
  </si>
  <si>
    <r>
      <t>RQONE04778140</t>
    </r>
    <r>
      <rPr>
        <sz val="10"/>
        <rFont val="Arial"/>
      </rPr>
      <t xml:space="preserve">
Bui Sy Quan (MS/EPC42-PS)
11/27/2025</t>
    </r>
  </si>
  <si>
    <r>
      <t>RQONE04778192</t>
    </r>
    <r>
      <rPr>
        <sz val="10"/>
        <rFont val="Arial"/>
      </rPr>
      <t xml:space="preserve">
Bui Sy Quan (MS/EPC42-PS)
11/27/2025</t>
    </r>
  </si>
  <si>
    <r>
      <t>RQONE04804179</t>
    </r>
    <r>
      <rPr>
        <sz val="10"/>
        <rFont val="Arial"/>
      </rPr>
      <t xml:space="preserve">
Le Do Nguyen Chuong (MS/EPC42-PS)
11/21/2025</t>
    </r>
  </si>
  <si>
    <r>
      <t>RQONE04805994</t>
    </r>
    <r>
      <rPr>
        <sz val="10"/>
        <rFont val="Arial"/>
      </rPr>
      <t xml:space="preserve">
Nguyen Huu Dat (MS/EPC42-PS)
11/20/2025</t>
    </r>
  </si>
  <si>
    <r>
      <t>RQONE04813934</t>
    </r>
    <r>
      <rPr>
        <sz val="10"/>
        <rFont val="Arial"/>
      </rPr>
      <t xml:space="preserve">
Bui Sy Quan (MS/EPC42-PS)
11/27/2025</t>
    </r>
  </si>
  <si>
    <r>
      <t>RQONE04814235</t>
    </r>
    <r>
      <rPr>
        <sz val="10"/>
        <rFont val="Arial"/>
      </rPr>
      <t xml:space="preserve">
Bui Sy Quan (MS/EPC42-PS)
11/27/2025</t>
    </r>
  </si>
  <si>
    <r>
      <t>RQONE04816016</t>
    </r>
    <r>
      <rPr>
        <sz val="10"/>
        <rFont val="Arial"/>
      </rPr>
      <t xml:space="preserve">
Chau Tri Cuong (MS/EPC42-PS)
11/20/2025</t>
    </r>
  </si>
  <si>
    <r>
      <t>RQONE04816017</t>
    </r>
    <r>
      <rPr>
        <sz val="10"/>
        <rFont val="Arial"/>
      </rPr>
      <t xml:space="preserve">
Chau Tri Cuong (MS/EPC42-PS)
11/20/2025</t>
    </r>
  </si>
  <si>
    <r>
      <t>RQONE04819617</t>
    </r>
    <r>
      <rPr>
        <sz val="10"/>
        <rFont val="Arial"/>
      </rPr>
      <t xml:space="preserve">
Nguyen Huu Dat (MS/EPC42-PS)
11/20/2025</t>
    </r>
  </si>
  <si>
    <r>
      <t>RQONE04819683</t>
    </r>
    <r>
      <rPr>
        <sz val="10"/>
        <rFont val="Arial"/>
      </rPr>
      <t xml:space="preserve">
Nguyen Huu Dat (MS/EPC42-PS)
11/20/2025</t>
    </r>
  </si>
  <si>
    <r>
      <t>RQONE04832935</t>
    </r>
    <r>
      <rPr>
        <sz val="10"/>
        <rFont val="Arial"/>
      </rPr>
      <t xml:space="preserve">
Dang Dinh Gia Bao (MS/EPC42-PS)
</t>
    </r>
  </si>
  <si>
    <r>
      <t>RQONE04832937</t>
    </r>
    <r>
      <rPr>
        <sz val="10"/>
        <rFont val="Arial"/>
      </rPr>
      <t xml:space="preserve">
Dang Dinh Gia Bao (MS/EPC42-PS)
</t>
    </r>
  </si>
  <si>
    <r>
      <t>RQONE04832940</t>
    </r>
    <r>
      <rPr>
        <sz val="10"/>
        <rFont val="Arial"/>
      </rPr>
      <t xml:space="preserve">
Dang Dinh Gia Bao (MS/EPC42-PS)
</t>
    </r>
  </si>
  <si>
    <r>
      <t>RQONE04837897</t>
    </r>
    <r>
      <rPr>
        <sz val="10"/>
        <rFont val="Arial"/>
      </rPr>
      <t xml:space="preserve">
Nguyen Vuu Huy Hoang (MS/EPC42-PS)
</t>
    </r>
  </si>
  <si>
    <r>
      <t>RQONE04837898</t>
    </r>
    <r>
      <rPr>
        <sz val="10"/>
        <rFont val="Arial"/>
      </rPr>
      <t xml:space="preserve">
Nguyen Vuu Huy Hoang (MS/EPC42-PS)
12/27/2025</t>
    </r>
  </si>
  <si>
    <r>
      <t>RQONE04837899</t>
    </r>
    <r>
      <rPr>
        <sz val="10"/>
        <rFont val="Arial"/>
      </rPr>
      <t xml:space="preserve">
Nguyen Vuu Huy Hoang (MS/EPC42-PS)
</t>
    </r>
  </si>
  <si>
    <r>
      <t>RQONE04837901</t>
    </r>
    <r>
      <rPr>
        <sz val="10"/>
        <rFont val="Arial"/>
      </rPr>
      <t xml:space="preserve">
Nguyen Vuu Huy Hoang (MS/EPC42-PS)
</t>
    </r>
  </si>
  <si>
    <r>
      <t>RQONE04841234</t>
    </r>
    <r>
      <rPr>
        <sz val="10"/>
        <rFont val="Arial"/>
      </rPr>
      <t xml:space="preserve">
Nguyen Ba Vu Thach (MS/EPC42-PS)
2/6/2026</t>
    </r>
  </si>
  <si>
    <r>
      <t>RQONE04841235</t>
    </r>
    <r>
      <rPr>
        <sz val="10"/>
        <rFont val="Arial"/>
      </rPr>
      <t xml:space="preserve">
Nguyen Ba Vu Thach (MS/EPC42-PS)
2/6/2026</t>
    </r>
  </si>
  <si>
    <r>
      <t>RQONE04841236</t>
    </r>
    <r>
      <rPr>
        <sz val="10"/>
        <rFont val="Arial"/>
      </rPr>
      <t xml:space="preserve">
Nguyen Ba Vu Thach (MS/EPC42-PS)
2/6/2026</t>
    </r>
  </si>
  <si>
    <r>
      <t>RQONE04841237</t>
    </r>
    <r>
      <rPr>
        <sz val="10"/>
        <rFont val="Arial"/>
      </rPr>
      <t xml:space="preserve">
Nguyen Ba Vu Thach (MS/EPC42-PS)
2/6/2026</t>
    </r>
  </si>
  <si>
    <r>
      <t>RQONE04842759</t>
    </r>
    <r>
      <rPr>
        <sz val="10"/>
        <rFont val="Arial"/>
      </rPr>
      <t xml:space="preserve">
Pham Minh Quan (MS/EPS21-SWC)
11/28/2025</t>
    </r>
  </si>
  <si>
    <r>
      <t>RQONE04846812</t>
    </r>
    <r>
      <rPr>
        <sz val="10"/>
        <rFont val="Arial"/>
      </rPr>
      <t xml:space="preserve">
Nguyen Hoang Kha (MS/EPC42-PS)
11/21/2025</t>
    </r>
  </si>
  <si>
    <r>
      <t>RQONE04846813</t>
    </r>
    <r>
      <rPr>
        <sz val="10"/>
        <rFont val="Arial"/>
      </rPr>
      <t xml:space="preserve">
Nguyen Hoang Kha (MS/EPC42-PS)
11/21/2025</t>
    </r>
  </si>
  <si>
    <r>
      <t>RQONE04846815</t>
    </r>
    <r>
      <rPr>
        <sz val="10"/>
        <rFont val="Arial"/>
      </rPr>
      <t xml:space="preserve">
Nguyen Hoang Kha (MS/EPC42-PS)
11/21/2025</t>
    </r>
  </si>
  <si>
    <r>
      <t>RQONE04846816</t>
    </r>
    <r>
      <rPr>
        <sz val="10"/>
        <rFont val="Arial"/>
      </rPr>
      <t xml:space="preserve">
Nguyen Ba Vu Thach (MS/EPC42-PS)
11/21/2025</t>
    </r>
  </si>
  <si>
    <r>
      <t>RQONE04848805</t>
    </r>
    <r>
      <rPr>
        <sz val="10"/>
        <rFont val="Arial"/>
      </rPr>
      <t xml:space="preserve">
Nguyen Dang Ngung (MS/EPC42-PS)
11/28/2025</t>
    </r>
  </si>
  <si>
    <r>
      <t>RQONE04855804</t>
    </r>
    <r>
      <rPr>
        <sz val="10"/>
        <rFont val="Arial"/>
      </rPr>
      <t xml:space="preserve">
Phan Manh Cuong (MS/EPC42-PS)
12/26/2025</t>
    </r>
  </si>
  <si>
    <r>
      <t>RQONE04856109</t>
    </r>
    <r>
      <rPr>
        <sz val="10"/>
        <rFont val="Arial"/>
      </rPr>
      <t xml:space="preserve">
Khuat Duy Nguyen (MS/EPC42-PS)
11/28/2025</t>
    </r>
  </si>
  <si>
    <r>
      <t>RQONE04856232</t>
    </r>
    <r>
      <rPr>
        <sz val="10"/>
        <rFont val="Arial"/>
      </rPr>
      <t xml:space="preserve">
Truong Van Ngoc Em (MS/EPC42-PS)
11/18/2025</t>
    </r>
  </si>
  <si>
    <r>
      <t>RQONE04856590</t>
    </r>
    <r>
      <rPr>
        <sz val="10"/>
        <rFont val="Arial"/>
      </rPr>
      <t xml:space="preserve">
Nguyen Le Thanh Loc (MS/EPC42-PS)
11/28/2025</t>
    </r>
  </si>
  <si>
    <r>
      <t>RQONE04859943</t>
    </r>
    <r>
      <rPr>
        <sz val="10"/>
        <rFont val="Arial"/>
      </rPr>
      <t xml:space="preserve">
Nguyen Ba Vu Thach (MS/EPC42-PS)
</t>
    </r>
  </si>
  <si>
    <r>
      <t>RQONE04859944</t>
    </r>
    <r>
      <rPr>
        <sz val="10"/>
        <rFont val="Arial"/>
      </rPr>
      <t xml:space="preserve">
Nguyen Ba Vu Thach (MS/EPC42-PS)
</t>
    </r>
  </si>
  <si>
    <r>
      <t>RQONE04859945</t>
    </r>
    <r>
      <rPr>
        <sz val="10"/>
        <rFont val="Arial"/>
      </rPr>
      <t xml:space="preserve">
Nguyen Ba Vu Thach (MS/EPC42-PS)
</t>
    </r>
  </si>
  <si>
    <r>
      <t>RQONE04860554</t>
    </r>
    <r>
      <rPr>
        <sz val="10"/>
        <rFont val="Arial"/>
      </rPr>
      <t xml:space="preserve">
Nguyen Huu Dat (MS/EPC42-PS)
11/29/2025</t>
    </r>
  </si>
  <si>
    <r>
      <t>RQONE04860582</t>
    </r>
    <r>
      <rPr>
        <sz val="10"/>
        <rFont val="Arial"/>
      </rPr>
      <t xml:space="preserve">
Nguyen Hoang Kha (MS/EPC42-PS)
2/6/2026</t>
    </r>
  </si>
  <si>
    <r>
      <t>RQONE04863941</t>
    </r>
    <r>
      <rPr>
        <sz val="10"/>
        <rFont val="Arial"/>
      </rPr>
      <t xml:space="preserve">
Dang Sy Binh (MS/EPC42-PS)
11/19/2025</t>
    </r>
  </si>
  <si>
    <r>
      <t>RQONE04864193</t>
    </r>
    <r>
      <rPr>
        <sz val="10"/>
        <rFont val="Arial"/>
      </rPr>
      <t xml:space="preserve">
Dang Sy Binh (MS/EPC42-PS)
11/18/2025</t>
    </r>
  </si>
  <si>
    <r>
      <t>RQONE04864977</t>
    </r>
    <r>
      <rPr>
        <sz val="10"/>
        <rFont val="Arial"/>
      </rPr>
      <t xml:space="preserve">
Nguyen Don Anh Minh (MS/EPC42-PS)
</t>
    </r>
  </si>
  <si>
    <r>
      <t>RQONE04864978</t>
    </r>
    <r>
      <rPr>
        <sz val="10"/>
        <rFont val="Arial"/>
      </rPr>
      <t xml:space="preserve">
Nguyen Don Anh Minh (MS/EPC42-PS)
</t>
    </r>
  </si>
  <si>
    <r>
      <t>RQONE04864979</t>
    </r>
    <r>
      <rPr>
        <sz val="10"/>
        <rFont val="Arial"/>
      </rPr>
      <t xml:space="preserve">
Nguyen Don Anh Minh (MS/EPC42-PS)
</t>
    </r>
  </si>
  <si>
    <r>
      <t>RQONE04864980</t>
    </r>
    <r>
      <rPr>
        <sz val="10"/>
        <rFont val="Arial"/>
      </rPr>
      <t xml:space="preserve">
Nguyen Don Anh Minh (MS/EPC42-PS)
</t>
    </r>
  </si>
  <si>
    <r>
      <t>RQONE04864981</t>
    </r>
    <r>
      <rPr>
        <sz val="10"/>
        <rFont val="Arial"/>
      </rPr>
      <t xml:space="preserve">
Nguyen Don Anh Minh (MS/EPC42-PS)
</t>
    </r>
  </si>
  <si>
    <r>
      <t>RQONE04864982</t>
    </r>
    <r>
      <rPr>
        <sz val="10"/>
        <rFont val="Arial"/>
      </rPr>
      <t xml:space="preserve">
Nguyen Don Anh Minh (MS/EPC42-PS)
</t>
    </r>
  </si>
  <si>
    <r>
      <t>RQONE04865013</t>
    </r>
    <r>
      <rPr>
        <sz val="10"/>
        <rFont val="Arial"/>
      </rPr>
      <t xml:space="preserve">
Truong Van Ngoc Em (MS/EPC42-PS)
</t>
    </r>
  </si>
  <si>
    <r>
      <t>RQONE04866529</t>
    </r>
    <r>
      <rPr>
        <sz val="10"/>
        <rFont val="Arial"/>
      </rPr>
      <t xml:space="preserve">
Dang Dinh Gia Bao (MS/EPC42-PS)
</t>
    </r>
  </si>
  <si>
    <r>
      <t>RQONE04866533</t>
    </r>
    <r>
      <rPr>
        <sz val="10"/>
        <rFont val="Arial"/>
      </rPr>
      <t xml:space="preserve">
Dang Dinh Gia Bao (MS/EPC42-PS)
</t>
    </r>
  </si>
  <si>
    <r>
      <t>RQONE04866536</t>
    </r>
    <r>
      <rPr>
        <sz val="10"/>
        <rFont val="Arial"/>
      </rPr>
      <t xml:space="preserve">
Dang Dinh Gia Bao (MS/EPC42-PS)
</t>
    </r>
  </si>
  <si>
    <r>
      <t>RQONE04868436</t>
    </r>
    <r>
      <rPr>
        <sz val="10"/>
        <rFont val="Arial"/>
      </rPr>
      <t xml:space="preserve">
Le Do Nguyen Chuong (MS/EPC42-PS)
</t>
    </r>
  </si>
  <si>
    <r>
      <t>RQONE04868449</t>
    </r>
    <r>
      <rPr>
        <sz val="10"/>
        <rFont val="Arial"/>
      </rPr>
      <t xml:space="preserve">
Khuat Duy Nguyen (MS/EPC42-PS)
</t>
    </r>
  </si>
  <si>
    <r>
      <t>RQONE04868450</t>
    </r>
    <r>
      <rPr>
        <sz val="10"/>
        <rFont val="Arial"/>
      </rPr>
      <t xml:space="preserve">
Khuat Duy Nguyen (MS/EPC42-PS)
</t>
    </r>
  </si>
  <si>
    <r>
      <t>RQONE04868453</t>
    </r>
    <r>
      <rPr>
        <sz val="10"/>
        <rFont val="Arial"/>
      </rPr>
      <t xml:space="preserve">
Khuat Duy Nguyen (MS/EPC42-PS)
</t>
    </r>
  </si>
  <si>
    <r>
      <t>RQONE04868454</t>
    </r>
    <r>
      <rPr>
        <sz val="10"/>
        <rFont val="Arial"/>
      </rPr>
      <t xml:space="preserve">
Khuat Duy Nguyen (MS/EPC42-PS)
</t>
    </r>
  </si>
  <si>
    <r>
      <t>RQONE04868455</t>
    </r>
    <r>
      <rPr>
        <sz val="10"/>
        <rFont val="Arial"/>
      </rPr>
      <t xml:space="preserve">
Khuat Duy Nguyen (MS/EPC42-PS)
</t>
    </r>
  </si>
  <si>
    <r>
      <t>RQONE04869339</t>
    </r>
    <r>
      <rPr>
        <sz val="10"/>
        <rFont val="Arial"/>
      </rPr>
      <t xml:space="preserve">
Phan Manh Cuong (MS/EPC42-PS)
12/12/2025</t>
    </r>
  </si>
  <si>
    <r>
      <t>RQONE04869344</t>
    </r>
    <r>
      <rPr>
        <sz val="10"/>
        <rFont val="Arial"/>
      </rPr>
      <t xml:space="preserve">
Phan Manh Cuong (MS/EPC42-PS)
12/12/2025</t>
    </r>
  </si>
  <si>
    <r>
      <t>RQONE04869448</t>
    </r>
    <r>
      <rPr>
        <sz val="10"/>
        <rFont val="Arial"/>
      </rPr>
      <t xml:space="preserve">
Nguyen Huu Dat (MS/EPC42-PS)
</t>
    </r>
  </si>
  <si>
    <r>
      <t>RQONE04869631</t>
    </r>
    <r>
      <rPr>
        <sz val="10"/>
        <rFont val="Arial"/>
      </rPr>
      <t xml:space="preserve">
Nguyen Ba Vu Thach (MS/EPC42-PS)
11/25/2025</t>
    </r>
  </si>
  <si>
    <r>
      <t>RQONE04870964</t>
    </r>
    <r>
      <rPr>
        <sz val="10"/>
        <rFont val="Arial"/>
      </rPr>
      <t xml:space="preserve">
Vo Huynh Nhat Tan (MS/EPS21-SWC)
12/12/2025</t>
    </r>
  </si>
  <si>
    <r>
      <t>RQONE04870971</t>
    </r>
    <r>
      <rPr>
        <sz val="10"/>
        <rFont val="Arial"/>
      </rPr>
      <t xml:space="preserve">
Vo Huynh Nhat Tan (MS/EPS21-SWC)
12/12/2025</t>
    </r>
  </si>
  <si>
    <r>
      <t>RQONE04870974</t>
    </r>
    <r>
      <rPr>
        <sz val="10"/>
        <rFont val="Arial"/>
      </rPr>
      <t xml:space="preserve">
Vo Huynh Nhat Tan (MS/EPS21-SWC)
12/12/2025</t>
    </r>
  </si>
  <si>
    <r>
      <t>RQONE04870981</t>
    </r>
    <r>
      <rPr>
        <sz val="10"/>
        <rFont val="Arial"/>
      </rPr>
      <t xml:space="preserve">
Vo Huynh Nhat Tan (MS/EPS21-SWC)
12/12/2025</t>
    </r>
  </si>
  <si>
    <r>
      <t>RQONE04872504</t>
    </r>
    <r>
      <rPr>
        <sz val="10"/>
        <rFont val="Arial"/>
      </rPr>
      <t xml:space="preserve">
Dao Phi Duong (MS/EPC42-PS)
11/29/2025</t>
    </r>
  </si>
  <si>
    <r>
      <t>RQONE04872507</t>
    </r>
    <r>
      <rPr>
        <sz val="10"/>
        <rFont val="Arial"/>
      </rPr>
      <t xml:space="preserve">
Nguyen Huu Dat (MS/EPC42-PS)
11/29/2025</t>
    </r>
  </si>
  <si>
    <r>
      <t>RQONE04872511</t>
    </r>
    <r>
      <rPr>
        <sz val="10"/>
        <rFont val="Arial"/>
      </rPr>
      <t xml:space="preserve">
Tran Manh Khai (MS/EPC42-PS)
11/29/2025</t>
    </r>
  </si>
  <si>
    <r>
      <t>RQONE04872513</t>
    </r>
    <r>
      <rPr>
        <sz val="10"/>
        <rFont val="Arial"/>
      </rPr>
      <t xml:space="preserve">
Bui Sy Quan (MS/EPC42-PS)
11/29/2025</t>
    </r>
  </si>
  <si>
    <r>
      <t>RQONE04872514</t>
    </r>
    <r>
      <rPr>
        <sz val="10"/>
        <rFont val="Arial"/>
      </rPr>
      <t xml:space="preserve">
Le Do Nguyen Chuong (MS/EPC42-PS)
11/29/2025</t>
    </r>
  </si>
  <si>
    <r>
      <t>RQONE04872515</t>
    </r>
    <r>
      <rPr>
        <sz val="10"/>
        <rFont val="Arial"/>
      </rPr>
      <t xml:space="preserve">
Tran Manh Khai (MS/EPC42-PS)
11/29/2025</t>
    </r>
  </si>
  <si>
    <r>
      <t>RQONE04872517</t>
    </r>
    <r>
      <rPr>
        <sz val="10"/>
        <rFont val="Arial"/>
      </rPr>
      <t xml:space="preserve">
Le Do Nguyen Chuong (MS/EPC42-PS)
11/29/2025</t>
    </r>
  </si>
  <si>
    <r>
      <t>RQONE04872518</t>
    </r>
    <r>
      <rPr>
        <sz val="10"/>
        <rFont val="Arial"/>
      </rPr>
      <t xml:space="preserve">
Pham Nguyen Ngoc Toan (MS/EPC42-PS)
11/29/2025</t>
    </r>
  </si>
  <si>
    <r>
      <t>RQONE04872520</t>
    </r>
    <r>
      <rPr>
        <sz val="10"/>
        <rFont val="Arial"/>
      </rPr>
      <t xml:space="preserve">
Bui Sy Quan (MS/EPC42-PS)
11/29/2025</t>
    </r>
  </si>
  <si>
    <r>
      <t>RQONE04872522</t>
    </r>
    <r>
      <rPr>
        <sz val="10"/>
        <rFont val="Arial"/>
      </rPr>
      <t xml:space="preserve">
Dao Phi Duong (MS/EPC42-PS)
11/29/2025</t>
    </r>
  </si>
  <si>
    <r>
      <t>RQONE04872524</t>
    </r>
    <r>
      <rPr>
        <sz val="10"/>
        <rFont val="Arial"/>
      </rPr>
      <t xml:space="preserve">
Chau Tri Cuong (MS/EPC42-PS)
11/28/2025</t>
    </r>
  </si>
  <si>
    <r>
      <t>RQONE04872525</t>
    </r>
    <r>
      <rPr>
        <sz val="10"/>
        <rFont val="Arial"/>
      </rPr>
      <t xml:space="preserve">
Tran Manh Khai (MS/EPC42-PS)
11/29/2025</t>
    </r>
  </si>
  <si>
    <r>
      <t>RQONE04873331</t>
    </r>
    <r>
      <rPr>
        <sz val="10"/>
        <rFont val="Arial"/>
      </rPr>
      <t xml:space="preserve">
Truong Chi Long (MS/EPC42-PS)
</t>
    </r>
  </si>
  <si>
    <r>
      <t>RQONE04873332</t>
    </r>
    <r>
      <rPr>
        <sz val="10"/>
        <rFont val="Arial"/>
      </rPr>
      <t xml:space="preserve">
Truong Chi Long (MS/EPC42-PS)
</t>
    </r>
  </si>
  <si>
    <r>
      <t>RQONE04873334</t>
    </r>
    <r>
      <rPr>
        <sz val="10"/>
        <rFont val="Arial"/>
      </rPr>
      <t xml:space="preserve">
Truong Chi Long (MS/EPC42-PS)
</t>
    </r>
  </si>
  <si>
    <r>
      <t>RQONE04873336</t>
    </r>
    <r>
      <rPr>
        <sz val="10"/>
        <rFont val="Arial"/>
      </rPr>
      <t xml:space="preserve">
Truong Chi Long (MS/EPC42-PS)
11/25/2025</t>
    </r>
  </si>
  <si>
    <r>
      <t>RQONE04873337</t>
    </r>
    <r>
      <rPr>
        <sz val="10"/>
        <rFont val="Arial"/>
      </rPr>
      <t xml:space="preserve">
Truong Chi Long (MS/EPC42-PS)
</t>
    </r>
  </si>
  <si>
    <r>
      <t>RQONE04873338</t>
    </r>
    <r>
      <rPr>
        <sz val="10"/>
        <rFont val="Arial"/>
      </rPr>
      <t xml:space="preserve">
Truong Chi Long (MS/EPC42-PS)
</t>
    </r>
  </si>
  <si>
    <r>
      <t>RQONE04874477</t>
    </r>
    <r>
      <rPr>
        <sz val="10"/>
        <rFont val="Arial"/>
      </rPr>
      <t xml:space="preserve">
Huynh Quoc Hoang (MS/EPC42-PS)
12/12/2025</t>
    </r>
  </si>
  <si>
    <r>
      <t>RQONE04875789</t>
    </r>
    <r>
      <rPr>
        <sz val="10"/>
        <rFont val="Arial"/>
      </rPr>
      <t xml:space="preserve">
Dang Sy Binh (MS/EPC42-PS)
11/24/2025</t>
    </r>
  </si>
  <si>
    <r>
      <t>RQONE04876357</t>
    </r>
    <r>
      <rPr>
        <sz val="10"/>
        <rFont val="Arial"/>
      </rPr>
      <t xml:space="preserve">
Nguyen Huu Dat (MS/EPC42-PS)
</t>
    </r>
  </si>
  <si>
    <r>
      <t>RQONE04876512</t>
    </r>
    <r>
      <rPr>
        <sz val="10"/>
        <rFont val="Arial"/>
      </rPr>
      <t xml:space="preserve">
Nguyen Huu Dat (MS/EPC42-PS)
11/28/2025</t>
    </r>
  </si>
  <si>
    <t>New (146)</t>
  </si>
  <si>
    <t>Conflicted (20)</t>
  </si>
  <si>
    <t>Started (46)</t>
  </si>
  <si>
    <t>WorkItem (212)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</si>
</sst>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m/d/yyyy\ h:mm:ss"/>
    <numFmt numFmtId="165" formatCode="\ h:mm:ss"/>
    <numFmt numFmtId="166" formatCode="[$-409]d\-mmm\-yyyy;@"/>
  </numFmts>
  <fonts count="27" x14ac:knownFonts="1">
    <font>
      <sz val="10"/>
      <name val="Arial"/>
    </font>
    <font>
      <sz val="10"/>
      <color theme="1"/>
      <name val="Arial"/>
      <family val="2"/>
    </font>
    <font>
      <sz val="10"/>
      <color theme="1"/>
      <name val="Arial"/>
      <family val="2"/>
    </font>
    <font>
      <b/>
      <sz val="10"/>
      <name val="Arial"/>
      <family val="2"/>
    </font>
    <font>
      <b/>
      <sz val="12"/>
      <color indexed="9"/>
      <name val="Arial"/>
      <family val="2"/>
    </font>
    <font>
      <b/>
      <sz val="12"/>
      <name val="Arial"/>
      <family val="2"/>
    </font>
    <font>
      <sz val="24"/>
      <name val="Arial"/>
      <family val="2"/>
    </font>
    <font>
      <b/>
      <sz val="10"/>
      <color indexed="10"/>
      <name val="Arial"/>
      <family val="2"/>
    </font>
    <font>
      <sz val="10"/>
      <name val="Arial"/>
      <family val="2"/>
    </font>
    <font>
      <b/>
      <sz val="11"/>
      <name val="Arial"/>
      <family val="2"/>
    </font>
    <font>
      <b/>
      <sz val="14"/>
      <color theme="1"/>
      <name val="Arial"/>
      <family val="2"/>
    </font>
    <font>
      <b/>
      <sz val="14"/>
      <name val="Arial"/>
      <family val="2"/>
    </font>
    <font>
      <b/>
      <sz val="10"/>
      <color theme="0"/>
      <name val="Arial"/>
      <family val="2"/>
    </font>
    <font>
      <sz val="10"/>
      <color theme="0"/>
      <name val="Arial"/>
      <family val="2"/>
    </font>
    <font>
      <sz val="9"/>
      <color indexed="81"/>
      <name val="Tahoma"/>
      <family val="2"/>
    </font>
    <font>
      <b/>
      <sz val="9"/>
      <color indexed="81"/>
      <name val="Tahoma"/>
      <family val="2"/>
    </font>
    <font>
      <u/>
      <sz val="10"/>
      <color theme="10"/>
      <name val="Arial"/>
      <family val="2"/>
    </font>
    <font>
      <sz val="10"/>
      <color rgb="FFFF0000"/>
      <name val="Arial"/>
      <family val="2"/>
    </font>
    <font>
      <b/>
      <sz val="10"/>
      <color rgb="FFFFFFFF"/>
      <name val="Arial"/>
      <family val="2"/>
    </font>
    <font>
      <sz val="10"/>
      <color rgb="FFFFFFFF"/>
      <name val="Arial"/>
      <family val="2"/>
    </font>
    <font>
      <b/>
      <sz val="10"/>
      <color rgb="FF002060"/>
      <name val="Arial"/>
      <family val="2"/>
    </font>
    <font>
      <b/>
      <sz val="16"/>
      <color theme="1"/>
      <name val="Arial"/>
      <family val="2"/>
    </font>
    <font>
      <b/>
      <sz val="11"/>
      <color theme="1"/>
      <name val="Arial"/>
      <family val="2"/>
    </font>
    <font>
      <b/>
      <sz val="8"/>
      <color indexed="9"/>
      <name val="Arial"/>
      <family val="2"/>
    </font>
    <font>
      <b/>
      <sz val="18"/>
      <name val="Arial"/>
      <family val="2"/>
    </font>
    <font>
      <sz val="10"/>
      <name val="Arial"/>
      <family val="2"/>
    </font>
    <font>
      <sz val="10"/>
      <color rgb="FF000000"/>
      <name val="Arial"/>
      <family val="2"/>
    </font>
  </fonts>
  <fills count="85">
    <fill>
      <patternFill patternType="none"/>
    </fill>
    <fill>
      <patternFill patternType="gray125"/>
    </fill>
    <fill>
      <patternFill patternType="solid">
        <fgColor indexed="9"/>
        <bgColor indexed="64"/>
      </patternFill>
    </fill>
    <fill>
      <patternFill patternType="solid">
        <fgColor rgb="FFC8C8C8"/>
        <bgColor indexed="64"/>
      </patternFill>
    </fill>
    <fill>
      <patternFill patternType="solid">
        <fgColor theme="1" tint="0.499984740745262"/>
        <bgColor indexed="64"/>
      </patternFill>
    </fill>
    <fill>
      <patternFill patternType="solid">
        <fgColor theme="2" tint="-9.9978637043366805E-2"/>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3" tint="0.59999389629810485"/>
        <bgColor indexed="64"/>
      </patternFill>
    </fill>
    <fill>
      <patternFill patternType="solid">
        <fgColor rgb="FFFFC000"/>
        <bgColor indexed="64"/>
      </patternFill>
    </fill>
    <fill>
      <patternFill patternType="solid">
        <fgColor rgb="FF00B0F0"/>
        <bgColor indexed="64"/>
      </patternFill>
    </fill>
    <fill>
      <patternFill patternType="solid">
        <fgColor theme="9" tint="-0.249977111117893"/>
        <bgColor indexed="64"/>
      </patternFill>
    </fill>
    <fill>
      <patternFill patternType="solid">
        <fgColor rgb="FFFF0000"/>
        <bgColor indexed="64"/>
      </patternFill>
    </fill>
    <fill>
      <patternFill patternType="solid">
        <fgColor rgb="FFFFFF00"/>
        <bgColor indexed="64"/>
      </patternFill>
    </fill>
    <fill>
      <patternFill patternType="solid">
        <fgColor rgb="FF00FFFF"/>
        <bgColor indexed="64"/>
      </patternFill>
    </fill>
    <fill>
      <patternFill patternType="solid">
        <fgColor theme="0" tint="-0.14999847407452621"/>
        <bgColor indexed="64"/>
      </patternFill>
    </fill>
    <fill>
      <patternFill patternType="solid">
        <fgColor rgb="FFCCFFFF"/>
        <bgColor indexed="64"/>
      </patternFill>
    </fill>
    <fill>
      <patternFill patternType="solid">
        <fgColor theme="7" tint="-0.499984740745262"/>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theme="6" tint="0.39997558519241921"/>
        <bgColor indexed="64"/>
      </patternFill>
    </fill>
    <fill>
      <patternFill patternType="solid">
        <fgColor theme="8" tint="0.39997558519241921"/>
        <bgColor indexed="64"/>
      </patternFill>
    </fill>
    <fill>
      <patternFill patternType="solid">
        <fgColor rgb="FFFFFFFF"/>
        <bgColor indexed="64"/>
      </patternFill>
    </fill>
    <fill>
      <patternFill patternType="solid">
        <fgColor rgb="FF000000"/>
        <bgColor indexed="64"/>
      </patternFill>
    </fill>
    <fill>
      <patternFill patternType="solid">
        <fgColor rgb="FF993300"/>
        <bgColor indexed="64"/>
      </patternFill>
    </fill>
    <fill>
      <patternFill patternType="solid">
        <fgColor rgb="FF333300"/>
        <bgColor indexed="64"/>
      </patternFill>
    </fill>
    <fill>
      <patternFill patternType="solid">
        <fgColor rgb="FF003300"/>
        <bgColor indexed="64"/>
      </patternFill>
    </fill>
    <fill>
      <patternFill patternType="solid">
        <fgColor rgb="FF003366"/>
        <bgColor indexed="64"/>
      </patternFill>
    </fill>
    <fill>
      <patternFill patternType="solid">
        <fgColor rgb="FF000080"/>
        <bgColor indexed="64"/>
      </patternFill>
    </fill>
    <fill>
      <patternFill patternType="solid">
        <fgColor rgb="FF333399"/>
        <bgColor indexed="64"/>
      </patternFill>
    </fill>
    <fill>
      <patternFill patternType="solid">
        <fgColor rgb="FF333333"/>
        <bgColor indexed="64"/>
      </patternFill>
    </fill>
    <fill>
      <patternFill patternType="solid">
        <fgColor rgb="FF800000"/>
        <bgColor indexed="64"/>
      </patternFill>
    </fill>
    <fill>
      <patternFill patternType="solid">
        <fgColor rgb="FFFF6600"/>
        <bgColor indexed="64"/>
      </patternFill>
    </fill>
    <fill>
      <patternFill patternType="solid">
        <fgColor rgb="FF808000"/>
        <bgColor indexed="64"/>
      </patternFill>
    </fill>
    <fill>
      <patternFill patternType="solid">
        <fgColor rgb="FF008000"/>
        <bgColor indexed="64"/>
      </patternFill>
    </fill>
    <fill>
      <patternFill patternType="solid">
        <fgColor rgb="FF008080"/>
        <bgColor indexed="64"/>
      </patternFill>
    </fill>
    <fill>
      <patternFill patternType="solid">
        <fgColor rgb="FF0000FF"/>
        <bgColor indexed="64"/>
      </patternFill>
    </fill>
    <fill>
      <patternFill patternType="solid">
        <fgColor rgb="FF666699"/>
        <bgColor indexed="64"/>
      </patternFill>
    </fill>
    <fill>
      <patternFill patternType="solid">
        <fgColor rgb="FF808080"/>
        <bgColor indexed="64"/>
      </patternFill>
    </fill>
    <fill>
      <patternFill patternType="solid">
        <fgColor rgb="FFFF9900"/>
        <bgColor indexed="64"/>
      </patternFill>
    </fill>
    <fill>
      <patternFill patternType="solid">
        <fgColor rgb="FF99CC00"/>
        <bgColor indexed="64"/>
      </patternFill>
    </fill>
    <fill>
      <patternFill patternType="solid">
        <fgColor rgb="FF339966"/>
        <bgColor indexed="64"/>
      </patternFill>
    </fill>
    <fill>
      <patternFill patternType="solid">
        <fgColor rgb="FF33CCCC"/>
        <bgColor indexed="64"/>
      </patternFill>
    </fill>
    <fill>
      <patternFill patternType="solid">
        <fgColor rgb="FF3366FF"/>
        <bgColor indexed="64"/>
      </patternFill>
    </fill>
    <fill>
      <patternFill patternType="solid">
        <fgColor rgb="FF800080"/>
        <bgColor indexed="64"/>
      </patternFill>
    </fill>
    <fill>
      <patternFill patternType="solid">
        <fgColor rgb="FF969696"/>
        <bgColor indexed="64"/>
      </patternFill>
    </fill>
    <fill>
      <patternFill patternType="solid">
        <fgColor rgb="FFFF00FF"/>
        <bgColor indexed="64"/>
      </patternFill>
    </fill>
    <fill>
      <patternFill patternType="solid">
        <fgColor rgb="FFFFCC00"/>
        <bgColor indexed="64"/>
      </patternFill>
    </fill>
    <fill>
      <patternFill patternType="solid">
        <fgColor rgb="FF00FF00"/>
        <bgColor indexed="64"/>
      </patternFill>
    </fill>
    <fill>
      <patternFill patternType="solid">
        <fgColor rgb="FF00CCFF"/>
        <bgColor indexed="64"/>
      </patternFill>
    </fill>
    <fill>
      <patternFill patternType="solid">
        <fgColor rgb="FF993366"/>
        <bgColor indexed="64"/>
      </patternFill>
    </fill>
    <fill>
      <patternFill patternType="solid">
        <fgColor rgb="FFC0C0C0"/>
        <bgColor indexed="64"/>
      </patternFill>
    </fill>
    <fill>
      <patternFill patternType="solid">
        <fgColor rgb="FFFF99CC"/>
        <bgColor indexed="64"/>
      </patternFill>
    </fill>
    <fill>
      <patternFill patternType="solid">
        <fgColor rgb="FFFFCC99"/>
        <bgColor indexed="64"/>
      </patternFill>
    </fill>
    <fill>
      <patternFill patternType="solid">
        <fgColor rgb="FFFFFF99"/>
        <bgColor indexed="64"/>
      </patternFill>
    </fill>
    <fill>
      <patternFill patternType="solid">
        <fgColor rgb="FFCCFFCC"/>
        <bgColor indexed="64"/>
      </patternFill>
    </fill>
    <fill>
      <patternFill patternType="solid">
        <fgColor rgb="FF99CCFF"/>
        <bgColor indexed="64"/>
      </patternFill>
    </fill>
    <fill>
      <patternFill patternType="solid">
        <fgColor rgb="FFCC99FF"/>
        <bgColor indexed="64"/>
      </patternFill>
    </fill>
    <fill>
      <patternFill patternType="solid">
        <fgColor rgb="FF9999FF"/>
        <bgColor indexed="64"/>
      </patternFill>
    </fill>
    <fill>
      <patternFill patternType="solid">
        <fgColor rgb="FFFFFFCC"/>
        <bgColor indexed="64"/>
      </patternFill>
    </fill>
    <fill>
      <patternFill patternType="solid">
        <fgColor rgb="FF660066"/>
        <bgColor indexed="64"/>
      </patternFill>
    </fill>
    <fill>
      <patternFill patternType="solid">
        <fgColor rgb="FFFF8080"/>
        <bgColor indexed="64"/>
      </patternFill>
    </fill>
    <fill>
      <patternFill patternType="solid">
        <fgColor rgb="FF0066CC"/>
        <bgColor indexed="64"/>
      </patternFill>
    </fill>
    <fill>
      <patternFill patternType="solid">
        <fgColor rgb="FFCCCCFF"/>
        <bgColor indexed="64"/>
      </patternFill>
    </fill>
    <fill>
      <patternFill patternType="solid">
        <fgColor theme="2" tint="-0.499984740745262"/>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bgColor indexed="64"/>
      </patternFill>
    </fill>
    <fill>
      <patternFill patternType="solid">
        <fgColor theme="9" tint="0.39997558519241921"/>
        <bgColor indexed="64"/>
      </patternFill>
    </fill>
    <fill>
      <patternFill patternType="solid">
        <fgColor theme="0"/>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FAC090"/>
        <bgColor indexed="64"/>
      </patternFill>
    </fill>
    <fill>
      <patternFill patternType="solid">
        <fgColor rgb="FF92D050"/>
        <bgColor indexed="64"/>
      </patternFill>
    </fill>
    <fill>
      <patternFill patternType="solid">
        <fgColor theme="8" tint="-0.249977111117893"/>
        <bgColor indexed="64"/>
      </patternFill>
    </fill>
    <fill>
      <patternFill patternType="solid">
        <fgColor indexed="10"/>
        <bgColor indexed="64"/>
      </patternFill>
    </fill>
    <fill>
      <patternFill patternType="solid">
        <fgColor indexed="53"/>
        <bgColor indexed="64"/>
      </patternFill>
    </fill>
    <fill>
      <patternFill patternType="solid">
        <fgColor indexed="13"/>
        <bgColor indexed="64"/>
      </patternFill>
    </fill>
    <fill>
      <patternFill patternType="solid">
        <fgColor indexed="52"/>
        <bgColor indexed="64"/>
      </patternFill>
    </fill>
    <fill>
      <patternFill patternType="solid">
        <fgColor indexed="43"/>
        <bgColor indexed="64"/>
      </patternFill>
    </fill>
    <fill>
      <patternFill patternType="solid">
        <fgColor indexed="15"/>
        <bgColor indexed="64"/>
      </patternFill>
    </fill>
  </fills>
  <borders count="36">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medium">
        <color indexed="64"/>
      </right>
      <top style="medium">
        <color indexed="64"/>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medium">
        <color indexed="64"/>
      </left>
      <right style="medium">
        <color indexed="64"/>
      </right>
      <top/>
      <bottom/>
      <diagonal/>
    </border>
    <border>
      <left style="double">
        <color indexed="64"/>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thin">
        <color rgb="FF000000"/>
      </left>
      <right style="thin">
        <color rgb="FF000000"/>
      </right>
      <top style="thin">
        <color rgb="FF000000"/>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rgb="FF000000"/>
      </left>
      <right style="medium">
        <color rgb="FF000000"/>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style="medium">
        <color rgb="FF000000"/>
      </right>
      <top/>
      <bottom style="medium">
        <color rgb="FF000000"/>
      </bottom>
      <diagonal/>
    </border>
    <border>
      <left/>
      <right style="medium">
        <color rgb="FF000000"/>
      </right>
      <top/>
      <bottom style="medium">
        <color rgb="FF000000"/>
      </bottom>
      <diagonal/>
    </border>
  </borders>
  <cellStyleXfs count="4">
    <xf numFmtId="0" fontId="0" fillId="0" borderId="0"/>
    <xf numFmtId="0" fontId="16" fillId="0" borderId="0" applyNumberFormat="0" applyFill="0" applyBorder="0" applyAlignment="0" applyProtection="0">
      <alignment vertical="top"/>
      <protection locked="0"/>
    </xf>
    <xf numFmtId="0" fontId="2" fillId="0" borderId="0"/>
    <xf numFmtId="9" fontId="25" fillId="0" borderId="0" applyFont="0" applyFill="0" applyBorder="0" applyAlignment="0" applyProtection="0"/>
  </cellStyleXfs>
  <cellXfs count="219">
    <xf numFmtId="0" fontId="0" fillId="0" borderId="0" xfId="0"/>
    <xf numFmtId="0" fontId="0" fillId="2" borderId="0" xfId="0" applyFill="1"/>
    <xf numFmtId="0" fontId="0" fillId="2" borderId="0" xfId="0" applyFill="1" applyAlignment="1">
      <alignment vertical="center"/>
    </xf>
    <xf numFmtId="0" fontId="7" fillId="2" borderId="0" xfId="0" applyFont="1" applyFill="1" applyAlignment="1">
      <alignment horizontal="center"/>
    </xf>
    <xf numFmtId="22" fontId="3" fillId="0" borderId="0" xfId="0" applyNumberFormat="1" applyFont="1"/>
    <xf numFmtId="0" fontId="8" fillId="2" borderId="0" xfId="0" applyFont="1" applyFill="1"/>
    <xf numFmtId="0" fontId="10" fillId="4" borderId="8" xfId="0" applyFont="1" applyFill="1" applyBorder="1" applyAlignment="1">
      <alignment horizontal="center" vertical="center"/>
    </xf>
    <xf numFmtId="0" fontId="10" fillId="5" borderId="9" xfId="0" applyFont="1" applyFill="1" applyBorder="1" applyAlignment="1">
      <alignment horizontal="center" vertical="center"/>
    </xf>
    <xf numFmtId="0" fontId="10" fillId="6" borderId="9" xfId="0" applyFont="1" applyFill="1" applyBorder="1" applyAlignment="1">
      <alignment horizontal="center" vertical="center"/>
    </xf>
    <xf numFmtId="0" fontId="10" fillId="7" borderId="9" xfId="0" applyFont="1" applyFill="1" applyBorder="1" applyAlignment="1">
      <alignment horizontal="center" vertical="center"/>
    </xf>
    <xf numFmtId="0" fontId="10" fillId="8" borderId="10" xfId="0" applyFont="1" applyFill="1" applyBorder="1" applyAlignment="1">
      <alignment horizontal="center" vertical="center"/>
    </xf>
    <xf numFmtId="0" fontId="10" fillId="9" borderId="9" xfId="0" applyFont="1" applyFill="1" applyBorder="1" applyAlignment="1">
      <alignment horizontal="center" vertical="center"/>
    </xf>
    <xf numFmtId="0" fontId="10" fillId="10" borderId="9" xfId="0" applyFont="1" applyFill="1" applyBorder="1" applyAlignment="1">
      <alignment horizontal="center" vertical="center"/>
    </xf>
    <xf numFmtId="0" fontId="10" fillId="11" borderId="10" xfId="0" applyFont="1" applyFill="1" applyBorder="1" applyAlignment="1">
      <alignment horizontal="center" vertical="center"/>
    </xf>
    <xf numFmtId="0" fontId="10" fillId="12" borderId="10" xfId="0" applyFont="1" applyFill="1" applyBorder="1" applyAlignment="1">
      <alignment horizontal="center" vertical="center"/>
    </xf>
    <xf numFmtId="0" fontId="0" fillId="2" borderId="6" xfId="0" applyFill="1" applyBorder="1"/>
    <xf numFmtId="0" fontId="0" fillId="16" borderId="6" xfId="0" applyFill="1" applyBorder="1"/>
    <xf numFmtId="0" fontId="8" fillId="2" borderId="6" xfId="0" applyFont="1" applyFill="1" applyBorder="1" applyAlignment="1">
      <alignment horizontal="left"/>
    </xf>
    <xf numFmtId="0" fontId="0" fillId="17" borderId="6" xfId="0" applyFill="1" applyBorder="1"/>
    <xf numFmtId="0" fontId="0" fillId="18" borderId="6" xfId="0" applyFill="1" applyBorder="1"/>
    <xf numFmtId="0" fontId="0" fillId="20" borderId="6" xfId="0" applyFill="1" applyBorder="1"/>
    <xf numFmtId="0" fontId="0" fillId="0" borderId="0" xfId="0" applyAlignment="1">
      <alignment wrapText="1"/>
    </xf>
    <xf numFmtId="0" fontId="3" fillId="2" borderId="0" xfId="0" applyFont="1" applyFill="1" applyAlignment="1">
      <alignment horizontal="left" wrapText="1"/>
    </xf>
    <xf numFmtId="0" fontId="9" fillId="3" borderId="13" xfId="0" applyFont="1" applyFill="1" applyBorder="1"/>
    <xf numFmtId="22" fontId="3" fillId="0" borderId="19" xfId="0" applyNumberFormat="1" applyFont="1" applyBorder="1"/>
    <xf numFmtId="0" fontId="9" fillId="23" borderId="17" xfId="0" applyFont="1" applyFill="1" applyBorder="1"/>
    <xf numFmtId="22" fontId="3" fillId="23" borderId="17" xfId="0" applyNumberFormat="1" applyFont="1" applyFill="1" applyBorder="1" applyAlignment="1">
      <alignment wrapText="1"/>
    </xf>
    <xf numFmtId="0" fontId="3" fillId="23" borderId="17" xfId="0" applyFont="1" applyFill="1" applyBorder="1" applyAlignment="1">
      <alignment wrapText="1"/>
    </xf>
    <xf numFmtId="0" fontId="8" fillId="0" borderId="0" xfId="0" applyFont="1"/>
    <xf numFmtId="0" fontId="4" fillId="21" borderId="1" xfId="0" applyFont="1" applyFill="1" applyBorder="1" applyAlignment="1">
      <alignment horizontal="left" vertical="center"/>
    </xf>
    <xf numFmtId="0" fontId="0" fillId="2" borderId="0" xfId="0" quotePrefix="1" applyFill="1"/>
    <xf numFmtId="0" fontId="18" fillId="27" borderId="20" xfId="0" applyFont="1" applyFill="1" applyBorder="1" applyAlignment="1">
      <alignment horizontal="center" wrapText="1"/>
    </xf>
    <xf numFmtId="0" fontId="18" fillId="28" borderId="20" xfId="0" applyFont="1" applyFill="1" applyBorder="1" applyAlignment="1">
      <alignment horizontal="center" wrapText="1"/>
    </xf>
    <xf numFmtId="0" fontId="18" fillId="29" borderId="20" xfId="0" applyFont="1" applyFill="1" applyBorder="1" applyAlignment="1">
      <alignment horizontal="center" wrapText="1"/>
    </xf>
    <xf numFmtId="0" fontId="18" fillId="30" borderId="20" xfId="0" applyFont="1" applyFill="1" applyBorder="1" applyAlignment="1">
      <alignment horizontal="center" wrapText="1"/>
    </xf>
    <xf numFmtId="0" fontId="18" fillId="31" borderId="20" xfId="0" applyFont="1" applyFill="1" applyBorder="1" applyAlignment="1">
      <alignment horizontal="center" wrapText="1"/>
    </xf>
    <xf numFmtId="0" fontId="18" fillId="32" borderId="20" xfId="0" applyFont="1" applyFill="1" applyBorder="1" applyAlignment="1">
      <alignment horizontal="center" wrapText="1"/>
    </xf>
    <xf numFmtId="0" fontId="18" fillId="33" borderId="20" xfId="0" applyFont="1" applyFill="1" applyBorder="1" applyAlignment="1">
      <alignment horizontal="center" wrapText="1"/>
    </xf>
    <xf numFmtId="0" fontId="18" fillId="34" borderId="20" xfId="0" applyFont="1" applyFill="1" applyBorder="1" applyAlignment="1">
      <alignment horizontal="center" wrapText="1"/>
    </xf>
    <xf numFmtId="0" fontId="18" fillId="35" borderId="20" xfId="0" applyFont="1" applyFill="1" applyBorder="1" applyAlignment="1">
      <alignment horizontal="center" wrapText="1"/>
    </xf>
    <xf numFmtId="0" fontId="18" fillId="36" borderId="20" xfId="0" applyFont="1" applyFill="1" applyBorder="1" applyAlignment="1">
      <alignment horizontal="center" wrapText="1"/>
    </xf>
    <xf numFmtId="0" fontId="18" fillId="37" borderId="20" xfId="0" applyFont="1" applyFill="1" applyBorder="1" applyAlignment="1">
      <alignment horizontal="center" wrapText="1"/>
    </xf>
    <xf numFmtId="0" fontId="18" fillId="38" borderId="20" xfId="0" applyFont="1" applyFill="1" applyBorder="1" applyAlignment="1">
      <alignment horizontal="center" wrapText="1"/>
    </xf>
    <xf numFmtId="0" fontId="18" fillId="39" borderId="20" xfId="0" applyFont="1" applyFill="1" applyBorder="1" applyAlignment="1">
      <alignment horizontal="center" wrapText="1"/>
    </xf>
    <xf numFmtId="0" fontId="18" fillId="40" borderId="20" xfId="0" applyFont="1" applyFill="1" applyBorder="1" applyAlignment="1">
      <alignment horizontal="center" wrapText="1"/>
    </xf>
    <xf numFmtId="0" fontId="18" fillId="41" borderId="20" xfId="0" applyFont="1" applyFill="1" applyBorder="1" applyAlignment="1">
      <alignment horizontal="center" wrapText="1"/>
    </xf>
    <xf numFmtId="0" fontId="18" fillId="42" borderId="20" xfId="0" applyFont="1" applyFill="1" applyBorder="1" applyAlignment="1">
      <alignment horizontal="center" wrapText="1"/>
    </xf>
    <xf numFmtId="0" fontId="3" fillId="16" borderId="20" xfId="0" applyFont="1" applyFill="1" applyBorder="1" applyAlignment="1">
      <alignment horizontal="center" wrapText="1"/>
    </xf>
    <xf numFmtId="0" fontId="3" fillId="43" borderId="20" xfId="0" applyFont="1" applyFill="1" applyBorder="1" applyAlignment="1">
      <alignment horizontal="center" wrapText="1"/>
    </xf>
    <xf numFmtId="0" fontId="3" fillId="44" borderId="20" xfId="0" applyFont="1" applyFill="1" applyBorder="1" applyAlignment="1">
      <alignment horizontal="center" wrapText="1"/>
    </xf>
    <xf numFmtId="0" fontId="18" fillId="45" borderId="20" xfId="0" applyFont="1" applyFill="1" applyBorder="1" applyAlignment="1">
      <alignment horizontal="center" wrapText="1"/>
    </xf>
    <xf numFmtId="0" fontId="18" fillId="46" borderId="20" xfId="0" applyFont="1" applyFill="1" applyBorder="1" applyAlignment="1">
      <alignment horizontal="center" wrapText="1"/>
    </xf>
    <xf numFmtId="0" fontId="18" fillId="47" borderId="20" xfId="0" applyFont="1" applyFill="1" applyBorder="1" applyAlignment="1">
      <alignment horizontal="center" wrapText="1"/>
    </xf>
    <xf numFmtId="0" fontId="18" fillId="48" borderId="20" xfId="0" applyFont="1" applyFill="1" applyBorder="1" applyAlignment="1">
      <alignment horizontal="center" wrapText="1"/>
    </xf>
    <xf numFmtId="0" fontId="3" fillId="49" borderId="20" xfId="0" applyFont="1" applyFill="1" applyBorder="1" applyAlignment="1">
      <alignment horizontal="center" wrapText="1"/>
    </xf>
    <xf numFmtId="0" fontId="3" fillId="50" borderId="20" xfId="0" applyFont="1" applyFill="1" applyBorder="1" applyAlignment="1">
      <alignment horizontal="center" wrapText="1"/>
    </xf>
    <xf numFmtId="0" fontId="3" fillId="51" borderId="20" xfId="0" applyFont="1" applyFill="1" applyBorder="1" applyAlignment="1">
      <alignment horizontal="center" wrapText="1"/>
    </xf>
    <xf numFmtId="0" fontId="3" fillId="17" borderId="20" xfId="0" applyFont="1" applyFill="1" applyBorder="1" applyAlignment="1">
      <alignment horizontal="center" wrapText="1"/>
    </xf>
    <xf numFmtId="0" fontId="3" fillId="52" borderId="20" xfId="0" applyFont="1" applyFill="1" applyBorder="1" applyAlignment="1">
      <alignment horizontal="center" wrapText="1"/>
    </xf>
    <xf numFmtId="0" fontId="3" fillId="18" borderId="20" xfId="0" applyFont="1" applyFill="1" applyBorder="1" applyAlignment="1">
      <alignment horizontal="center" wrapText="1"/>
    </xf>
    <xf numFmtId="0" fontId="3" fillId="53" borderId="20" xfId="0" applyFont="1" applyFill="1" applyBorder="1" applyAlignment="1">
      <alignment horizontal="center" wrapText="1"/>
    </xf>
    <xf numFmtId="0" fontId="18" fillId="54" borderId="20" xfId="0" applyFont="1" applyFill="1" applyBorder="1" applyAlignment="1">
      <alignment horizontal="center" wrapText="1"/>
    </xf>
    <xf numFmtId="0" fontId="3" fillId="55" borderId="20" xfId="0" applyFont="1" applyFill="1" applyBorder="1" applyAlignment="1">
      <alignment horizontal="center" wrapText="1"/>
    </xf>
    <xf numFmtId="0" fontId="3" fillId="56" borderId="20" xfId="0" applyFont="1" applyFill="1" applyBorder="1" applyAlignment="1">
      <alignment horizontal="center" wrapText="1"/>
    </xf>
    <xf numFmtId="0" fontId="3" fillId="57" borderId="20" xfId="0" applyFont="1" applyFill="1" applyBorder="1" applyAlignment="1">
      <alignment horizontal="center" wrapText="1"/>
    </xf>
    <xf numFmtId="0" fontId="3" fillId="58" borderId="20" xfId="0" applyFont="1" applyFill="1" applyBorder="1" applyAlignment="1">
      <alignment horizontal="center" wrapText="1"/>
    </xf>
    <xf numFmtId="0" fontId="3" fillId="59" borderId="20" xfId="0" applyFont="1" applyFill="1" applyBorder="1" applyAlignment="1">
      <alignment horizontal="center" wrapText="1"/>
    </xf>
    <xf numFmtId="0" fontId="3" fillId="20" borderId="20" xfId="0" applyFont="1" applyFill="1" applyBorder="1" applyAlignment="1">
      <alignment horizontal="center" wrapText="1"/>
    </xf>
    <xf numFmtId="0" fontId="3" fillId="60" borderId="20" xfId="0" applyFont="1" applyFill="1" applyBorder="1" applyAlignment="1">
      <alignment horizontal="center" wrapText="1"/>
    </xf>
    <xf numFmtId="0" fontId="3" fillId="61" borderId="20" xfId="0" applyFont="1" applyFill="1" applyBorder="1" applyAlignment="1">
      <alignment horizontal="center" wrapText="1"/>
    </xf>
    <xf numFmtId="0" fontId="3" fillId="26" borderId="20" xfId="0" applyFont="1" applyFill="1" applyBorder="1" applyAlignment="1">
      <alignment horizontal="center" wrapText="1"/>
    </xf>
    <xf numFmtId="0" fontId="18" fillId="62" borderId="20" xfId="0" applyFont="1" applyFill="1" applyBorder="1" applyAlignment="1">
      <alignment horizontal="center" wrapText="1"/>
    </xf>
    <xf numFmtId="0" fontId="3" fillId="63" borderId="20" xfId="0" applyFont="1" applyFill="1" applyBorder="1" applyAlignment="1">
      <alignment horizontal="center" wrapText="1"/>
    </xf>
    <xf numFmtId="0" fontId="18" fillId="64" borderId="20" xfId="0" applyFont="1" applyFill="1" applyBorder="1" applyAlignment="1">
      <alignment horizontal="center" wrapText="1"/>
    </xf>
    <xf numFmtId="0" fontId="3" fillId="65" borderId="20" xfId="0" applyFont="1" applyFill="1" applyBorder="1" applyAlignment="1">
      <alignment horizontal="center" wrapText="1"/>
    </xf>
    <xf numFmtId="0" fontId="18" fillId="66" borderId="20" xfId="0" applyFont="1" applyFill="1" applyBorder="1" applyAlignment="1">
      <alignment horizontal="center" wrapText="1"/>
    </xf>
    <xf numFmtId="0" fontId="3" fillId="67" borderId="20" xfId="0" applyFont="1" applyFill="1" applyBorder="1" applyAlignment="1">
      <alignment horizontal="center" wrapText="1"/>
    </xf>
    <xf numFmtId="0" fontId="8" fillId="2" borderId="0" xfId="0" applyFont="1" applyFill="1" applyAlignment="1">
      <alignment vertical="center"/>
    </xf>
    <xf numFmtId="0" fontId="19" fillId="36" borderId="20" xfId="0" applyFont="1" applyFill="1" applyBorder="1" applyAlignment="1">
      <alignment horizontal="center" vertical="center" wrapText="1"/>
    </xf>
    <xf numFmtId="0" fontId="13" fillId="16" borderId="20" xfId="0" applyFont="1" applyFill="1" applyBorder="1" applyAlignment="1">
      <alignment horizontal="center" vertical="center" wrapText="1"/>
    </xf>
    <xf numFmtId="0" fontId="13" fillId="43" borderId="20" xfId="0" applyFont="1" applyFill="1" applyBorder="1" applyAlignment="1">
      <alignment horizontal="center" vertical="center" wrapText="1"/>
    </xf>
    <xf numFmtId="0" fontId="8" fillId="17" borderId="20" xfId="0" applyFont="1" applyFill="1" applyBorder="1" applyAlignment="1">
      <alignment horizontal="center" vertical="center" wrapText="1"/>
    </xf>
    <xf numFmtId="0" fontId="19" fillId="28" borderId="20" xfId="0" applyFont="1" applyFill="1" applyBorder="1" applyAlignment="1">
      <alignment horizontal="center" vertical="center" wrapText="1"/>
    </xf>
    <xf numFmtId="164" fontId="12" fillId="15" borderId="6" xfId="0" applyNumberFormat="1" applyFont="1" applyFill="1" applyBorder="1" applyAlignment="1">
      <alignment horizontal="center" vertical="center"/>
    </xf>
    <xf numFmtId="0" fontId="12" fillId="15" borderId="6" xfId="0" applyFont="1" applyFill="1" applyBorder="1" applyAlignment="1">
      <alignment horizontal="left" vertical="center"/>
    </xf>
    <xf numFmtId="0" fontId="12" fillId="68" borderId="6" xfId="0" applyFont="1" applyFill="1" applyBorder="1" applyAlignment="1">
      <alignment horizontal="left" vertical="center"/>
    </xf>
    <xf numFmtId="164" fontId="12" fillId="68" borderId="6" xfId="0" applyNumberFormat="1" applyFont="1" applyFill="1" applyBorder="1" applyAlignment="1">
      <alignment horizontal="center" vertical="center"/>
    </xf>
    <xf numFmtId="0" fontId="8" fillId="24" borderId="6" xfId="0" applyFont="1" applyFill="1" applyBorder="1" applyAlignment="1">
      <alignment horizontal="center" vertical="center"/>
    </xf>
    <xf numFmtId="0" fontId="8" fillId="70" borderId="6" xfId="0" applyFont="1" applyFill="1" applyBorder="1" applyAlignment="1">
      <alignment horizontal="center" vertical="center"/>
    </xf>
    <xf numFmtId="0" fontId="8" fillId="69" borderId="6" xfId="0" applyFont="1" applyFill="1" applyBorder="1" applyAlignment="1">
      <alignment horizontal="center" vertical="center"/>
    </xf>
    <xf numFmtId="0" fontId="8" fillId="12" borderId="6" xfId="0" applyFont="1" applyFill="1" applyBorder="1" applyAlignment="1">
      <alignment horizontal="center" vertical="center"/>
    </xf>
    <xf numFmtId="0" fontId="3" fillId="71" borderId="6" xfId="0" applyFont="1" applyFill="1" applyBorder="1" applyAlignment="1">
      <alignment horizontal="center" vertical="center" wrapText="1"/>
    </xf>
    <xf numFmtId="0" fontId="3" fillId="2" borderId="0" xfId="0" applyFont="1" applyFill="1" applyAlignment="1">
      <alignment wrapText="1"/>
    </xf>
    <xf numFmtId="0" fontId="0" fillId="20" borderId="24" xfId="0" applyFill="1" applyBorder="1"/>
    <xf numFmtId="0" fontId="3" fillId="24" borderId="25" xfId="0" applyFont="1" applyFill="1" applyBorder="1" applyAlignment="1">
      <alignment horizontal="left" vertical="center"/>
    </xf>
    <xf numFmtId="0" fontId="16" fillId="25" borderId="26" xfId="1" applyFill="1" applyBorder="1" applyAlignment="1" applyProtection="1">
      <alignment horizontal="left" vertical="center"/>
    </xf>
    <xf numFmtId="0" fontId="3" fillId="72" borderId="27" xfId="0" applyFont="1" applyFill="1" applyBorder="1" applyAlignment="1">
      <alignment horizontal="left" vertical="center"/>
    </xf>
    <xf numFmtId="0" fontId="20" fillId="72" borderId="28" xfId="0" applyFont="1" applyFill="1" applyBorder="1" applyAlignment="1">
      <alignment horizontal="center"/>
    </xf>
    <xf numFmtId="0" fontId="19" fillId="36" borderId="29" xfId="0" applyFont="1" applyFill="1" applyBorder="1" applyAlignment="1">
      <alignment horizontal="center" vertical="center" wrapText="1"/>
    </xf>
    <xf numFmtId="0" fontId="13" fillId="16" borderId="6" xfId="0" applyFont="1" applyFill="1" applyBorder="1" applyAlignment="1">
      <alignment horizontal="center" vertical="center" wrapText="1"/>
    </xf>
    <xf numFmtId="0" fontId="21" fillId="0" borderId="0" xfId="2" applyFont="1"/>
    <xf numFmtId="0" fontId="22" fillId="55" borderId="32" xfId="2" applyFont="1" applyFill="1" applyBorder="1" applyAlignment="1">
      <alignment vertical="top" wrapText="1"/>
    </xf>
    <xf numFmtId="0" fontId="22" fillId="55" borderId="33" xfId="2" applyFont="1" applyFill="1" applyBorder="1" applyAlignment="1">
      <alignment vertical="top" wrapText="1"/>
    </xf>
    <xf numFmtId="15" fontId="2" fillId="0" borderId="35" xfId="2" applyNumberFormat="1" applyBorder="1" applyAlignment="1">
      <alignment horizontal="center" vertical="center" wrapText="1"/>
    </xf>
    <xf numFmtId="0" fontId="2" fillId="0" borderId="35" xfId="2" applyBorder="1" applyAlignment="1">
      <alignment horizontal="center" vertical="center" wrapText="1"/>
    </xf>
    <xf numFmtId="0" fontId="2" fillId="0" borderId="35" xfId="2" applyBorder="1" applyAlignment="1">
      <alignment vertical="top" wrapText="1"/>
    </xf>
    <xf numFmtId="0" fontId="2" fillId="0" borderId="34" xfId="2" applyBorder="1" applyAlignment="1">
      <alignment horizontal="center" vertical="center" wrapText="1"/>
    </xf>
    <xf numFmtId="0" fontId="3" fillId="0" borderId="0" xfId="0" applyFont="1"/>
    <xf numFmtId="0" fontId="9" fillId="3" borderId="0" xfId="0" applyFont="1" applyFill="1" applyAlignment="1">
      <alignment wrapText="1"/>
    </xf>
    <xf numFmtId="22" fontId="3" fillId="14" borderId="0" xfId="0" applyNumberFormat="1" applyFont="1" applyFill="1" applyAlignment="1">
      <alignment horizontal="left" vertical="center"/>
    </xf>
    <xf numFmtId="0" fontId="5" fillId="3" borderId="0" xfId="0" applyFont="1" applyFill="1"/>
    <xf numFmtId="0" fontId="0" fillId="73" borderId="17" xfId="0" applyFill="1" applyBorder="1"/>
    <xf numFmtId="49" fontId="0" fillId="0" borderId="0" xfId="0" applyNumberFormat="1"/>
    <xf numFmtId="0" fontId="3" fillId="23" borderId="0" xfId="0" applyFont="1" applyFill="1"/>
    <xf numFmtId="49" fontId="3" fillId="23" borderId="0" xfId="0" applyNumberFormat="1" applyFont="1" applyFill="1"/>
    <xf numFmtId="2" fontId="3" fillId="23" borderId="0" xfId="0" applyNumberFormat="1" applyFont="1" applyFill="1" applyAlignment="1">
      <alignment horizontal="center"/>
    </xf>
    <xf numFmtId="0" fontId="8" fillId="0" borderId="0" xfId="0" quotePrefix="1" applyFont="1"/>
    <xf numFmtId="0" fontId="3" fillId="23" borderId="6" xfId="0" applyFont="1" applyFill="1" applyBorder="1"/>
    <xf numFmtId="0" fontId="3" fillId="74" borderId="6" xfId="0" applyFont="1" applyFill="1" applyBorder="1"/>
    <xf numFmtId="0" fontId="3" fillId="22" borderId="6" xfId="0" applyFont="1" applyFill="1" applyBorder="1" applyAlignment="1">
      <alignment horizontal="center" vertical="center"/>
    </xf>
    <xf numFmtId="0" fontId="3" fillId="9" borderId="6" xfId="0" applyFont="1" applyFill="1" applyBorder="1" applyAlignment="1">
      <alignment horizontal="center" vertical="center"/>
    </xf>
    <xf numFmtId="0" fontId="0" fillId="0" borderId="6" xfId="0" applyBorder="1"/>
    <xf numFmtId="10" fontId="0" fillId="75" borderId="6" xfId="3" applyNumberFormat="1" applyFont="1" applyFill="1" applyBorder="1"/>
    <xf numFmtId="0" fontId="12" fillId="78" borderId="6" xfId="0" applyFont="1" applyFill="1" applyBorder="1" applyAlignment="1">
      <alignment horizontal="left" vertical="center"/>
    </xf>
    <xf numFmtId="165" fontId="12" fillId="78" borderId="6" xfId="0" applyNumberFormat="1" applyFont="1" applyFill="1" applyBorder="1" applyAlignment="1">
      <alignment horizontal="center" vertical="center"/>
    </xf>
    <xf numFmtId="0" fontId="8" fillId="58" borderId="20" xfId="0" applyFont="1" applyFill="1" applyBorder="1" applyAlignment="1">
      <alignment horizontal="center" vertical="center" wrapText="1"/>
    </xf>
    <xf numFmtId="0" fontId="8" fillId="75" borderId="20" xfId="0" applyFont="1" applyFill="1" applyBorder="1" applyAlignment="1">
      <alignment horizontal="center" vertical="center" wrapText="1"/>
    </xf>
    <xf numFmtId="0" fontId="1" fillId="0" borderId="34" xfId="2" applyFont="1" applyBorder="1" applyAlignment="1">
      <alignment horizontal="center" vertical="center" wrapText="1"/>
    </xf>
    <xf numFmtId="0" fontId="1" fillId="0" borderId="35" xfId="2" applyFont="1" applyBorder="1" applyAlignment="1">
      <alignment horizontal="center" vertical="center" wrapText="1"/>
    </xf>
    <xf numFmtId="0" fontId="1" fillId="0" borderId="35" xfId="2" applyFont="1" applyBorder="1" applyAlignment="1">
      <alignment vertical="top" wrapText="1"/>
    </xf>
    <xf numFmtId="0" fontId="3" fillId="14" borderId="0" xfId="0" applyFont="1" applyFill="1" applyAlignment="1">
      <alignment horizontal="left" vertical="center"/>
    </xf>
    <xf numFmtId="0" fontId="0" fillId="73" borderId="17" xfId="0" applyFill="1" applyBorder="1" applyAlignment="1">
      <alignment horizontal="center" vertical="center"/>
    </xf>
    <xf numFmtId="0" fontId="3" fillId="13" borderId="6" xfId="0" applyFont="1" applyFill="1" applyBorder="1"/>
    <xf numFmtId="0" fontId="3" fillId="13" borderId="6" xfId="0" applyFont="1" applyFill="1" applyBorder="1" applyAlignment="1">
      <alignment horizontal="center" vertical="center"/>
    </xf>
    <xf numFmtId="14" fontId="0" fillId="2" borderId="0" xfId="0" applyNumberFormat="1" applyFill="1"/>
    <xf numFmtId="0" fontId="0" fillId="2" borderId="0" xfId="0" applyFill="1" applyAlignment="1">
      <alignment wrapText="1"/>
    </xf>
    <xf numFmtId="0" fontId="1" fillId="0" borderId="34" xfId="2" quotePrefix="1" applyFont="1" applyBorder="1" applyAlignment="1">
      <alignment horizontal="center" vertical="center" wrapText="1"/>
    </xf>
    <xf numFmtId="15" fontId="1" fillId="0" borderId="35" xfId="2" applyNumberFormat="1" applyFont="1" applyBorder="1" applyAlignment="1">
      <alignment horizontal="center" vertical="center" wrapText="1"/>
    </xf>
    <xf numFmtId="0" fontId="0" fillId="79" borderId="0" xfId="0" applyFill="1"/>
    <xf numFmtId="14" fontId="0" fillId="79" borderId="0" xfId="0" applyNumberFormat="1" applyFill="1"/>
    <xf numFmtId="0" fontId="0" fillId="79" borderId="0" xfId="0" applyFill="1" applyAlignment="1">
      <alignment wrapText="1"/>
    </xf>
    <xf numFmtId="0" fontId="3" fillId="79" borderId="0" xfId="0" applyFont="1" applyFill="1" applyAlignment="1">
      <alignment wrapText="1"/>
    </xf>
    <xf numFmtId="0" fontId="0" fillId="80" borderId="0" xfId="0" applyFill="1"/>
    <xf numFmtId="14" fontId="0" fillId="80" borderId="0" xfId="0" applyNumberFormat="1" applyFill="1"/>
    <xf numFmtId="0" fontId="0" fillId="80" borderId="0" xfId="0" applyFill="1" applyAlignment="1">
      <alignment wrapText="1"/>
    </xf>
    <xf numFmtId="0" fontId="3" fillId="80" borderId="0" xfId="0" applyFont="1" applyFill="1" applyAlignment="1">
      <alignment wrapText="1"/>
    </xf>
    <xf numFmtId="0" fontId="0" fillId="81" borderId="0" xfId="0" applyFill="1"/>
    <xf numFmtId="14" fontId="0" fillId="81" borderId="0" xfId="0" applyNumberFormat="1" applyFill="1"/>
    <xf numFmtId="0" fontId="0" fillId="81" borderId="0" xfId="0" applyFill="1" applyAlignment="1">
      <alignment wrapText="1"/>
    </xf>
    <xf numFmtId="0" fontId="0" fillId="82" borderId="0" xfId="0" applyFill="1"/>
    <xf numFmtId="14" fontId="0" fillId="82" borderId="0" xfId="0" applyNumberFormat="1" applyFill="1"/>
    <xf numFmtId="0" fontId="0" fillId="82" borderId="0" xfId="0" applyFill="1" applyAlignment="1">
      <alignment wrapText="1"/>
    </xf>
    <xf numFmtId="0" fontId="3" fillId="81" borderId="0" xfId="0" applyFont="1" applyFill="1" applyAlignment="1">
      <alignment wrapText="1"/>
    </xf>
    <xf numFmtId="0" fontId="3" fillId="82" borderId="0" xfId="0" applyFont="1" applyFill="1" applyAlignment="1">
      <alignment wrapText="1"/>
    </xf>
    <xf numFmtId="0" fontId="0" fillId="83" borderId="0" xfId="0" applyFill="1"/>
    <xf numFmtId="14" fontId="0" fillId="83" borderId="0" xfId="0" applyNumberFormat="1" applyFill="1"/>
    <xf numFmtId="0" fontId="0" fillId="83" borderId="0" xfId="0" applyFill="1" applyAlignment="1">
      <alignment wrapText="1"/>
    </xf>
    <xf numFmtId="0" fontId="3" fillId="83" borderId="0" xfId="0" applyFont="1" applyFill="1" applyAlignment="1">
      <alignment wrapText="1"/>
    </xf>
    <xf numFmtId="0" fontId="0" fillId="84" borderId="0" xfId="0" applyFill="1"/>
    <xf numFmtId="14" fontId="0" fillId="84" borderId="0" xfId="0" applyNumberFormat="1" applyFill="1"/>
    <xf numFmtId="0" fontId="0" fillId="84" borderId="0" xfId="0" applyFill="1" applyAlignment="1">
      <alignment wrapText="1"/>
    </xf>
    <xf numFmtId="0" fontId="3" fillId="84" borderId="0" xfId="0" applyFont="1" applyFill="1" applyAlignment="1">
      <alignment wrapText="1"/>
    </xf>
    <xf numFmtId="0" fontId="8" fillId="12" borderId="15" xfId="0" applyFont="1" applyFill="1" applyBorder="1" applyAlignment="1">
      <alignment horizontal="left"/>
    </xf>
    <xf numFmtId="0" fontId="8" fillId="12" borderId="12" xfId="0" applyFont="1" applyFill="1" applyBorder="1" applyAlignment="1">
      <alignment horizontal="left"/>
    </xf>
    <xf numFmtId="0" fontId="8" fillId="12" borderId="16" xfId="0" applyFont="1" applyFill="1" applyBorder="1" applyAlignment="1">
      <alignment horizontal="left"/>
    </xf>
    <xf numFmtId="0" fontId="8" fillId="69" borderId="15" xfId="0" applyFont="1" applyFill="1" applyBorder="1" applyAlignment="1">
      <alignment horizontal="left"/>
    </xf>
    <xf numFmtId="0" fontId="8" fillId="69" borderId="12" xfId="0" applyFont="1" applyFill="1" applyBorder="1" applyAlignment="1">
      <alignment horizontal="left"/>
    </xf>
    <xf numFmtId="0" fontId="8" fillId="69" borderId="16" xfId="0" applyFont="1" applyFill="1" applyBorder="1" applyAlignment="1">
      <alignment horizontal="left"/>
    </xf>
    <xf numFmtId="0" fontId="4" fillId="21" borderId="3" xfId="0" applyFont="1" applyFill="1" applyBorder="1" applyAlignment="1">
      <alignment horizontal="left" vertical="center"/>
    </xf>
    <xf numFmtId="0" fontId="4" fillId="21" borderId="2" xfId="0" applyFont="1" applyFill="1" applyBorder="1" applyAlignment="1">
      <alignment horizontal="left" vertical="center"/>
    </xf>
    <xf numFmtId="0" fontId="8" fillId="24" borderId="15" xfId="0" applyFont="1" applyFill="1" applyBorder="1" applyAlignment="1">
      <alignment horizontal="left"/>
    </xf>
    <xf numFmtId="0" fontId="8" fillId="24" borderId="12" xfId="0" applyFont="1" applyFill="1" applyBorder="1" applyAlignment="1">
      <alignment horizontal="left"/>
    </xf>
    <xf numFmtId="0" fontId="8" fillId="24" borderId="16" xfId="0" applyFont="1" applyFill="1" applyBorder="1" applyAlignment="1">
      <alignment horizontal="left"/>
    </xf>
    <xf numFmtId="0" fontId="8" fillId="70" borderId="15" xfId="0" applyFont="1" applyFill="1" applyBorder="1" applyAlignment="1">
      <alignment horizontal="left"/>
    </xf>
    <xf numFmtId="0" fontId="8" fillId="70" borderId="12" xfId="0" applyFont="1" applyFill="1" applyBorder="1" applyAlignment="1">
      <alignment horizontal="left"/>
    </xf>
    <xf numFmtId="0" fontId="8" fillId="70" borderId="16" xfId="0" applyFont="1" applyFill="1" applyBorder="1" applyAlignment="1">
      <alignment horizontal="left"/>
    </xf>
    <xf numFmtId="0" fontId="3" fillId="71" borderId="15" xfId="0" applyFont="1" applyFill="1" applyBorder="1" applyAlignment="1">
      <alignment horizontal="center" vertical="center"/>
    </xf>
    <xf numFmtId="0" fontId="3" fillId="71" borderId="12" xfId="0" applyFont="1" applyFill="1" applyBorder="1" applyAlignment="1">
      <alignment horizontal="center" vertical="center"/>
    </xf>
    <xf numFmtId="0" fontId="3" fillId="71" borderId="16" xfId="0" applyFont="1" applyFill="1" applyBorder="1" applyAlignment="1">
      <alignment horizontal="center" vertical="center"/>
    </xf>
    <xf numFmtId="0" fontId="4" fillId="21" borderId="7" xfId="0" applyFont="1" applyFill="1" applyBorder="1" applyAlignment="1">
      <alignment horizontal="left" vertical="center"/>
    </xf>
    <xf numFmtId="0" fontId="4" fillId="21" borderId="5" xfId="0" applyFont="1" applyFill="1" applyBorder="1" applyAlignment="1">
      <alignment horizontal="left" vertical="center"/>
    </xf>
    <xf numFmtId="0" fontId="6" fillId="2" borderId="0" xfId="0" applyFont="1" applyFill="1" applyAlignment="1">
      <alignment horizontal="center"/>
    </xf>
    <xf numFmtId="0" fontId="5" fillId="22" borderId="7" xfId="0" applyFont="1" applyFill="1" applyBorder="1" applyAlignment="1" applyProtection="1">
      <alignment horizontal="left"/>
      <protection locked="0"/>
    </xf>
    <xf numFmtId="0" fontId="5" fillId="22" borderId="4" xfId="0" applyFont="1" applyFill="1" applyBorder="1" applyAlignment="1" applyProtection="1">
      <alignment horizontal="left"/>
      <protection locked="0"/>
    </xf>
    <xf numFmtId="0" fontId="5" fillId="22" borderId="5" xfId="0" applyFont="1" applyFill="1" applyBorder="1" applyAlignment="1" applyProtection="1">
      <alignment horizontal="left"/>
      <protection locked="0"/>
    </xf>
    <xf numFmtId="0" fontId="5" fillId="22" borderId="7" xfId="0" applyFont="1" applyFill="1" applyBorder="1" applyAlignment="1" applyProtection="1">
      <alignment horizontal="left" wrapText="1"/>
      <protection locked="0"/>
    </xf>
    <xf numFmtId="0" fontId="5" fillId="19" borderId="8" xfId="0" applyFont="1" applyFill="1" applyBorder="1" applyAlignment="1" applyProtection="1">
      <alignment horizontal="left" vertical="center"/>
      <protection locked="0"/>
    </xf>
    <xf numFmtId="0" fontId="5" fillId="19" borderId="9" xfId="0" applyFont="1" applyFill="1" applyBorder="1" applyAlignment="1" applyProtection="1">
      <alignment horizontal="left" vertical="center"/>
      <protection locked="0"/>
    </xf>
    <xf numFmtId="0" fontId="5" fillId="19" borderId="10" xfId="0" applyFont="1" applyFill="1" applyBorder="1" applyAlignment="1" applyProtection="1">
      <alignment horizontal="left" vertical="center"/>
      <protection locked="0"/>
    </xf>
    <xf numFmtId="0" fontId="5" fillId="19" borderId="30" xfId="0" applyFont="1" applyFill="1" applyBorder="1" applyAlignment="1" applyProtection="1">
      <alignment horizontal="left" vertical="center"/>
      <protection locked="0"/>
    </xf>
    <xf numFmtId="0" fontId="5" fillId="19" borderId="11" xfId="0" applyFont="1" applyFill="1" applyBorder="1" applyAlignment="1" applyProtection="1">
      <alignment horizontal="left" vertical="center"/>
      <protection locked="0"/>
    </xf>
    <xf numFmtId="0" fontId="5" fillId="19" borderId="31" xfId="0" applyFont="1" applyFill="1" applyBorder="1" applyAlignment="1" applyProtection="1">
      <alignment horizontal="left" vertical="center"/>
      <protection locked="0"/>
    </xf>
    <xf numFmtId="166" fontId="5" fillId="22" borderId="7" xfId="0" applyNumberFormat="1" applyFont="1" applyFill="1" applyBorder="1" applyAlignment="1">
      <alignment horizontal="center" vertical="center"/>
    </xf>
    <xf numFmtId="166" fontId="5" fillId="22" borderId="5" xfId="0" applyNumberFormat="1" applyFont="1" applyFill="1" applyBorder="1" applyAlignment="1">
      <alignment horizontal="center" vertical="center"/>
    </xf>
    <xf numFmtId="0" fontId="4" fillId="21" borderId="4" xfId="0" applyFont="1" applyFill="1" applyBorder="1" applyAlignment="1">
      <alignment horizontal="left" vertical="center"/>
    </xf>
    <xf numFmtId="0" fontId="11" fillId="14" borderId="8" xfId="0" applyFont="1" applyFill="1" applyBorder="1" applyAlignment="1">
      <alignment horizontal="center" vertical="center"/>
    </xf>
    <xf numFmtId="0" fontId="11" fillId="14" borderId="9" xfId="0" applyFont="1" applyFill="1" applyBorder="1" applyAlignment="1">
      <alignment horizontal="center" vertical="center"/>
    </xf>
    <xf numFmtId="0" fontId="11" fillId="14" borderId="10" xfId="0" applyFont="1" applyFill="1" applyBorder="1" applyAlignment="1">
      <alignment horizontal="center" vertical="center"/>
    </xf>
    <xf numFmtId="0" fontId="11" fillId="13" borderId="8" xfId="0" applyFont="1" applyFill="1" applyBorder="1" applyAlignment="1">
      <alignment horizontal="center" vertical="center"/>
    </xf>
    <xf numFmtId="0" fontId="11" fillId="13" borderId="9" xfId="0" applyFont="1" applyFill="1" applyBorder="1" applyAlignment="1">
      <alignment horizontal="center" vertical="center"/>
    </xf>
    <xf numFmtId="0" fontId="11" fillId="13" borderId="10" xfId="0" applyFont="1" applyFill="1" applyBorder="1" applyAlignment="1">
      <alignment horizontal="center" vertical="center"/>
    </xf>
    <xf numFmtId="0" fontId="11" fillId="15" borderId="8" xfId="0" applyFont="1" applyFill="1" applyBorder="1" applyAlignment="1">
      <alignment horizontal="center" vertical="center"/>
    </xf>
    <xf numFmtId="0" fontId="11" fillId="15" borderId="9" xfId="0" applyFont="1" applyFill="1" applyBorder="1" applyAlignment="1">
      <alignment horizontal="center" vertical="center"/>
    </xf>
    <xf numFmtId="0" fontId="11" fillId="15" borderId="10" xfId="0" applyFont="1" applyFill="1" applyBorder="1" applyAlignment="1">
      <alignment horizontal="center" vertical="center"/>
    </xf>
    <xf numFmtId="0" fontId="11" fillId="0" borderId="11" xfId="0" applyFont="1" applyBorder="1" applyAlignment="1">
      <alignment horizontal="center"/>
    </xf>
    <xf numFmtId="0" fontId="24" fillId="3" borderId="0" xfId="0" applyFont="1" applyFill="1" applyAlignment="1">
      <alignment horizontal="center"/>
    </xf>
    <xf numFmtId="0" fontId="5" fillId="76" borderId="0" xfId="0" applyFont="1" applyFill="1" applyAlignment="1">
      <alignment horizontal="center"/>
    </xf>
    <xf numFmtId="0" fontId="5" fillId="77" borderId="0" xfId="0" applyFont="1" applyFill="1" applyAlignment="1">
      <alignment horizontal="center"/>
    </xf>
    <xf numFmtId="0" fontId="8" fillId="26" borderId="21" xfId="0" applyFont="1" applyFill="1" applyBorder="1" applyAlignment="1">
      <alignment horizontal="center" wrapText="1"/>
    </xf>
    <xf numFmtId="0" fontId="8" fillId="26" borderId="22" xfId="0" applyFont="1" applyFill="1" applyBorder="1" applyAlignment="1">
      <alignment horizontal="center" wrapText="1"/>
    </xf>
    <xf numFmtId="0" fontId="8" fillId="26" borderId="23" xfId="0" applyFont="1" applyFill="1" applyBorder="1" applyAlignment="1">
      <alignment horizontal="center" wrapText="1"/>
    </xf>
    <xf numFmtId="0" fontId="8" fillId="2" borderId="6" xfId="0" applyFont="1" applyFill="1" applyBorder="1" applyAlignment="1">
      <alignment horizontal="left"/>
    </xf>
    <xf numFmtId="0" fontId="0" fillId="0" borderId="6" xfId="0" applyBorder="1" applyAlignment="1">
      <alignment horizontal="center" vertical="center"/>
    </xf>
    <xf numFmtId="0" fontId="8" fillId="2" borderId="17" xfId="0" applyFont="1" applyFill="1" applyBorder="1" applyAlignment="1">
      <alignment horizontal="center" vertical="center"/>
    </xf>
    <xf numFmtId="0" fontId="8" fillId="2" borderId="18" xfId="0" applyFont="1" applyFill="1" applyBorder="1" applyAlignment="1">
      <alignment horizontal="center" vertical="center"/>
    </xf>
    <xf numFmtId="0" fontId="8" fillId="2" borderId="14" xfId="0" applyFont="1" applyFill="1" applyBorder="1" applyAlignment="1">
      <alignment horizontal="center" vertical="center"/>
    </xf>
    <xf numFmtId="0" fontId="3" fillId="26" borderId="21" xfId="0" applyFont="1" applyFill="1" applyBorder="1" applyAlignment="1">
      <alignment horizontal="center" wrapText="1"/>
    </xf>
    <xf numFmtId="0" fontId="3" fillId="26" borderId="22" xfId="0" applyFont="1" applyFill="1" applyBorder="1" applyAlignment="1">
      <alignment horizontal="center" wrapText="1"/>
    </xf>
    <xf numFmtId="0" fontId="3" fillId="26" borderId="23" xfId="0" applyFont="1" applyFill="1" applyBorder="1" applyAlignment="1">
      <alignment horizontal="center" wrapText="1"/>
    </xf>
  </cellXfs>
  <cellStyles count="4">
    <cellStyle name="Hyperlink" xfId="1" builtinId="8"/>
    <cellStyle name="Normal" xfId="0" builtinId="0"/>
    <cellStyle name="Normal 3" xfId="2" xr:uid="{00000000-0005-0000-0000-000002000000}"/>
    <cellStyle name="Percent" xfId="3" builtinId="5"/>
  </cellStyles>
  <dxfs count="2">
    <dxf>
      <fill>
        <patternFill>
          <bgColor theme="8" tint="0.59996337778862885"/>
        </patternFill>
      </fill>
    </dxf>
    <dxf>
      <fill>
        <patternFill>
          <bgColor rgb="FFFF5050"/>
        </patternFill>
      </fill>
    </dxf>
  </dxfs>
  <tableStyles count="0" defaultTableStyle="TableStyleMedium9" defaultPivotStyle="PivotStyleLight16"/>
  <colors>
    <mruColors>
      <color rgb="FF00CCFF"/>
      <color rgb="FFFFFF99"/>
      <color rgb="FFCCFFFF"/>
      <color rgb="FF0070C0"/>
      <color rgb="FF660066"/>
      <color rgb="FF5E020F"/>
      <color rgb="FFAFC8FF"/>
      <color rgb="FFFF5050"/>
      <color rgb="FFFF3399"/>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10</xdr:col>
      <xdr:colOff>28575</xdr:colOff>
      <xdr:row>8</xdr:row>
      <xdr:rowOff>57150</xdr:rowOff>
    </xdr:from>
    <xdr:to>
      <xdr:col>11</xdr:col>
      <xdr:colOff>1962150</xdr:colOff>
      <xdr:row>28</xdr:row>
      <xdr:rowOff>133350</xdr:rowOff>
    </xdr:to>
    <xdr:sp macro="" textlink="">
      <xdr:nvSpPr>
        <xdr:cNvPr id="29" name="Rectangle 28">
          <a:extLst>
            <a:ext uri="{FF2B5EF4-FFF2-40B4-BE49-F238E27FC236}">
              <a16:creationId xmlns:a16="http://schemas.microsoft.com/office/drawing/2014/main" id="{00000000-0008-0000-0000-00001D000000}"/>
            </a:ext>
          </a:extLst>
        </xdr:cNvPr>
        <xdr:cNvSpPr/>
      </xdr:nvSpPr>
      <xdr:spPr bwMode="auto">
        <a:xfrm>
          <a:off x="8477250" y="1600200"/>
          <a:ext cx="3114675" cy="4152900"/>
        </a:xfrm>
        <a:prstGeom prst="rect">
          <a:avLst/>
        </a:prstGeom>
        <a:solidFill>
          <a:schemeClr val="accent1">
            <a:lumMod val="20000"/>
            <a:lumOff val="80000"/>
          </a:schemeClr>
        </a:solidFill>
        <a:ln w="63500" cmpd="thickThin">
          <a:solidFill>
            <a:schemeClr val="tx2">
              <a:lumMod val="60000"/>
              <a:lumOff val="40000"/>
            </a:schemeClr>
          </a:solidFill>
          <a:prstDash val="solid"/>
          <a:headEnd type="none" w="med" len="med"/>
          <a:tailEnd type="none" w="med" len="med"/>
        </a:ln>
      </xdr:spPr>
      <xdr:style>
        <a:lnRef idx="3">
          <a:schemeClr val="lt1"/>
        </a:lnRef>
        <a:fillRef idx="1">
          <a:schemeClr val="accent5"/>
        </a:fillRef>
        <a:effectRef idx="1">
          <a:schemeClr val="accent5"/>
        </a:effectRef>
        <a:fontRef idx="minor">
          <a:schemeClr val="lt1"/>
        </a:fontRef>
      </xdr:style>
      <xdr:txBody>
        <a:bodyPr vertOverflow="clip" wrap="square" lIns="18288" tIns="0" rIns="0" bIns="0" rtlCol="0" anchor="ctr" upright="1"/>
        <a:lstStyle/>
        <a:p>
          <a:pPr algn="ctr"/>
          <a:endParaRPr lang="en-US" sz="1100"/>
        </a:p>
      </xdr:txBody>
    </xdr:sp>
    <xdr:clientData/>
  </xdr:twoCellAnchor>
  <xdr:twoCellAnchor editAs="oneCell">
    <xdr:from>
      <xdr:col>6</xdr:col>
      <xdr:colOff>104775</xdr:colOff>
      <xdr:row>8</xdr:row>
      <xdr:rowOff>66675</xdr:rowOff>
    </xdr:from>
    <xdr:to>
      <xdr:col>8</xdr:col>
      <xdr:colOff>248285</xdr:colOff>
      <xdr:row>10</xdr:row>
      <xdr:rowOff>167640</xdr:rowOff>
    </xdr:to>
    <xdr:sp macro="" textlink="">
      <xdr:nvSpPr>
        <xdr:cNvPr id="3" name="AutoShape 42" hidden="1">
          <a:extLst>
            <a:ext uri="{FF2B5EF4-FFF2-40B4-BE49-F238E27FC236}">
              <a16:creationId xmlns:a16="http://schemas.microsoft.com/office/drawing/2014/main" id="{00000000-0008-0000-0000-000003000000}"/>
            </a:ext>
          </a:extLst>
        </xdr:cNvPr>
        <xdr:cNvSpPr>
          <a:spLocks noChangeArrowheads="1"/>
        </xdr:cNvSpPr>
      </xdr:nvSpPr>
      <xdr:spPr bwMode="auto">
        <a:xfrm>
          <a:off x="5591175" y="1609725"/>
          <a:ext cx="2362200" cy="523875"/>
        </a:xfrm>
        <a:prstGeom prst="wedgeRoundRectCallout">
          <a:avLst>
            <a:gd name="adj1" fmla="val -45162"/>
            <a:gd name="adj2" fmla="val -102542"/>
            <a:gd name="adj3" fmla="val 16667"/>
          </a:avLst>
        </a:prstGeom>
        <a:solidFill>
          <a:srgbClr val="FFFF99">
            <a:alpha val="50000"/>
          </a:srgbClr>
        </a:solidFill>
        <a:ln w="9525">
          <a:solidFill>
            <a:srgbClr val="000000"/>
          </a:solidFill>
          <a:miter lim="800000"/>
          <a:headEnd/>
          <a:tailEnd/>
        </a:ln>
        <a:effectLst>
          <a:outerShdw dist="107763" dir="2700000" algn="ctr" rotWithShape="0">
            <a:srgbClr val="C0C0C0">
              <a:alpha val="50000"/>
            </a:srgbClr>
          </a:outerShdw>
        </a:effectLst>
      </xdr:spPr>
      <xdr:txBody>
        <a:bodyPr vertOverflow="clip" wrap="square" lIns="27432" tIns="22860" rIns="27432" bIns="22860" anchor="ctr" upright="1"/>
        <a:lstStyle/>
        <a:p>
          <a:pPr algn="ctr" rtl="0">
            <a:defRPr sz="1000"/>
          </a:pPr>
          <a:r>
            <a:rPr lang="de-DE" sz="1000" b="1" i="0" u="none" strike="noStrike" baseline="0">
              <a:solidFill>
                <a:srgbClr val="FF6600"/>
              </a:solidFill>
              <a:latin typeface="Arial"/>
              <a:cs typeface="Arial"/>
            </a:rPr>
            <a:t>Click here if you have a question, a proposal or you have found a bug</a:t>
          </a:r>
        </a:p>
      </xdr:txBody>
    </xdr:sp>
    <xdr:clientData/>
  </xdr:twoCellAnchor>
  <xdr:twoCellAnchor editAs="oneCell">
    <xdr:from>
      <xdr:col>2</xdr:col>
      <xdr:colOff>628650</xdr:colOff>
      <xdr:row>17</xdr:row>
      <xdr:rowOff>0</xdr:rowOff>
    </xdr:from>
    <xdr:to>
      <xdr:col>5</xdr:col>
      <xdr:colOff>762000</xdr:colOff>
      <xdr:row>19</xdr:row>
      <xdr:rowOff>173355</xdr:rowOff>
    </xdr:to>
    <xdr:sp macro="" textlink="">
      <xdr:nvSpPr>
        <xdr:cNvPr id="4" name="AutoShape 44" hidden="1">
          <a:extLst>
            <a:ext uri="{FF2B5EF4-FFF2-40B4-BE49-F238E27FC236}">
              <a16:creationId xmlns:a16="http://schemas.microsoft.com/office/drawing/2014/main" id="{00000000-0008-0000-0000-000004000000}"/>
            </a:ext>
          </a:extLst>
        </xdr:cNvPr>
        <xdr:cNvSpPr>
          <a:spLocks noChangeArrowheads="1"/>
        </xdr:cNvSpPr>
      </xdr:nvSpPr>
      <xdr:spPr bwMode="auto">
        <a:xfrm>
          <a:off x="2819400" y="3524250"/>
          <a:ext cx="2419350" cy="561975"/>
        </a:xfrm>
        <a:prstGeom prst="wedgeRoundRectCallout">
          <a:avLst>
            <a:gd name="adj1" fmla="val -103227"/>
            <a:gd name="adj2" fmla="val -60171"/>
            <a:gd name="adj3" fmla="val 16667"/>
          </a:avLst>
        </a:prstGeom>
        <a:solidFill>
          <a:srgbClr val="FFFF99">
            <a:alpha val="50000"/>
          </a:srgbClr>
        </a:solidFill>
        <a:ln w="9525">
          <a:solidFill>
            <a:srgbClr val="000000"/>
          </a:solidFill>
          <a:miter lim="800000"/>
          <a:headEnd/>
          <a:tailEnd/>
        </a:ln>
        <a:effectLst>
          <a:outerShdw dist="107763" dir="2700000" algn="ctr" rotWithShape="0">
            <a:srgbClr val="C0C0C0">
              <a:alpha val="50000"/>
            </a:srgbClr>
          </a:outerShdw>
        </a:effectLst>
      </xdr:spPr>
      <xdr:txBody>
        <a:bodyPr/>
        <a:lstStyle/>
        <a:p>
          <a:endParaRPr lang="de-DE"/>
        </a:p>
      </xdr:txBody>
    </xdr:sp>
    <xdr:clientData/>
  </xdr:twoCellAnchor>
  <xdr:twoCellAnchor editAs="oneCell">
    <xdr:from>
      <xdr:col>2</xdr:col>
      <xdr:colOff>638175</xdr:colOff>
      <xdr:row>17</xdr:row>
      <xdr:rowOff>0</xdr:rowOff>
    </xdr:from>
    <xdr:to>
      <xdr:col>5</xdr:col>
      <xdr:colOff>762000</xdr:colOff>
      <xdr:row>19</xdr:row>
      <xdr:rowOff>173355</xdr:rowOff>
    </xdr:to>
    <xdr:sp macro="" textlink="">
      <xdr:nvSpPr>
        <xdr:cNvPr id="5" name="AutoShape 45" hidden="1">
          <a:extLst>
            <a:ext uri="{FF2B5EF4-FFF2-40B4-BE49-F238E27FC236}">
              <a16:creationId xmlns:a16="http://schemas.microsoft.com/office/drawing/2014/main" id="{00000000-0008-0000-0000-000005000000}"/>
            </a:ext>
          </a:extLst>
        </xdr:cNvPr>
        <xdr:cNvSpPr>
          <a:spLocks noChangeArrowheads="1"/>
        </xdr:cNvSpPr>
      </xdr:nvSpPr>
      <xdr:spPr bwMode="auto">
        <a:xfrm>
          <a:off x="2828925" y="3524250"/>
          <a:ext cx="2409825" cy="561975"/>
        </a:xfrm>
        <a:prstGeom prst="wedgeRoundRectCallout">
          <a:avLst>
            <a:gd name="adj1" fmla="val -123389"/>
            <a:gd name="adj2" fmla="val 161866"/>
            <a:gd name="adj3" fmla="val 16667"/>
          </a:avLst>
        </a:prstGeom>
        <a:solidFill>
          <a:srgbClr val="FFFF99">
            <a:alpha val="50000"/>
          </a:srgbClr>
        </a:solidFill>
        <a:ln w="9525">
          <a:solidFill>
            <a:srgbClr val="000000"/>
          </a:solidFill>
          <a:miter lim="800000"/>
          <a:headEnd/>
          <a:tailEnd/>
        </a:ln>
        <a:effectLst>
          <a:outerShdw dist="107763" dir="2700000" algn="ctr" rotWithShape="0">
            <a:srgbClr val="C0C0C0">
              <a:alpha val="50000"/>
            </a:srgbClr>
          </a:outerShdw>
        </a:effectLst>
      </xdr:spPr>
      <xdr:txBody>
        <a:bodyPr/>
        <a:lstStyle/>
        <a:p>
          <a:endParaRPr lang="de-DE"/>
        </a:p>
      </xdr:txBody>
    </xdr:sp>
    <xdr:clientData/>
  </xdr:twoCellAnchor>
  <xdr:twoCellAnchor editAs="oneCell">
    <xdr:from>
      <xdr:col>2</xdr:col>
      <xdr:colOff>628650</xdr:colOff>
      <xdr:row>17</xdr:row>
      <xdr:rowOff>0</xdr:rowOff>
    </xdr:from>
    <xdr:to>
      <xdr:col>5</xdr:col>
      <xdr:colOff>762000</xdr:colOff>
      <xdr:row>19</xdr:row>
      <xdr:rowOff>173355</xdr:rowOff>
    </xdr:to>
    <xdr:sp macro="" textlink="">
      <xdr:nvSpPr>
        <xdr:cNvPr id="6" name="AutoShape 43" hidden="1">
          <a:extLst>
            <a:ext uri="{FF2B5EF4-FFF2-40B4-BE49-F238E27FC236}">
              <a16:creationId xmlns:a16="http://schemas.microsoft.com/office/drawing/2014/main" id="{00000000-0008-0000-0000-000006000000}"/>
            </a:ext>
          </a:extLst>
        </xdr:cNvPr>
        <xdr:cNvSpPr>
          <a:spLocks noChangeArrowheads="1"/>
        </xdr:cNvSpPr>
      </xdr:nvSpPr>
      <xdr:spPr bwMode="auto">
        <a:xfrm>
          <a:off x="2819400" y="3524250"/>
          <a:ext cx="2419350" cy="561975"/>
        </a:xfrm>
        <a:prstGeom prst="wedgeRoundRectCallout">
          <a:avLst>
            <a:gd name="adj1" fmla="val -91130"/>
            <a:gd name="adj2" fmla="val -229662"/>
            <a:gd name="adj3" fmla="val 16667"/>
          </a:avLst>
        </a:prstGeom>
        <a:solidFill>
          <a:srgbClr val="FFFF99">
            <a:alpha val="50000"/>
          </a:srgbClr>
        </a:solidFill>
        <a:ln w="9525">
          <a:solidFill>
            <a:srgbClr val="000000"/>
          </a:solidFill>
          <a:miter lim="800000"/>
          <a:headEnd/>
          <a:tailEnd/>
        </a:ln>
        <a:effectLst>
          <a:outerShdw dist="107763" dir="2700000" algn="ctr" rotWithShape="0">
            <a:srgbClr val="C0C0C0">
              <a:alpha val="50000"/>
            </a:srgbClr>
          </a:outerShdw>
        </a:effectLst>
      </xdr:spPr>
      <xdr:txBody>
        <a:bodyPr vertOverflow="clip" wrap="square" lIns="27432" tIns="22860" rIns="27432" bIns="22860" anchor="ctr" upright="1"/>
        <a:lstStyle/>
        <a:p>
          <a:pPr algn="ctr" rtl="0">
            <a:defRPr sz="1000"/>
          </a:pPr>
          <a:r>
            <a:rPr lang="de-DE" sz="1000" b="1" i="0" u="none" strike="noStrike" baseline="0">
              <a:solidFill>
                <a:srgbClr val="FF6600"/>
              </a:solidFill>
              <a:latin typeface="Arial"/>
              <a:cs typeface="Arial"/>
            </a:rPr>
            <a:t>Click here if you would like to start with a Release</a:t>
          </a:r>
        </a:p>
      </xdr:txBody>
    </xdr:sp>
    <xdr:clientData/>
  </xdr:twoCellAnchor>
  <xdr:twoCellAnchor editAs="oneCell">
    <xdr:from>
      <xdr:col>9</xdr:col>
      <xdr:colOff>0</xdr:colOff>
      <xdr:row>33</xdr:row>
      <xdr:rowOff>95250</xdr:rowOff>
    </xdr:from>
    <xdr:to>
      <xdr:col>11</xdr:col>
      <xdr:colOff>205740</xdr:colOff>
      <xdr:row>35</xdr:row>
      <xdr:rowOff>129540</xdr:rowOff>
    </xdr:to>
    <xdr:sp macro="" textlink="">
      <xdr:nvSpPr>
        <xdr:cNvPr id="7" name="AutoShape 50" hidden="1">
          <a:extLst>
            <a:ext uri="{FF2B5EF4-FFF2-40B4-BE49-F238E27FC236}">
              <a16:creationId xmlns:a16="http://schemas.microsoft.com/office/drawing/2014/main" id="{00000000-0008-0000-0000-000007000000}"/>
            </a:ext>
          </a:extLst>
        </xdr:cNvPr>
        <xdr:cNvSpPr>
          <a:spLocks noChangeArrowheads="1"/>
        </xdr:cNvSpPr>
      </xdr:nvSpPr>
      <xdr:spPr bwMode="auto">
        <a:xfrm>
          <a:off x="8258175" y="6581775"/>
          <a:ext cx="1638300" cy="361950"/>
        </a:xfrm>
        <a:prstGeom prst="wedgeRoundRectCallout">
          <a:avLst>
            <a:gd name="adj1" fmla="val -101162"/>
            <a:gd name="adj2" fmla="val 210528"/>
            <a:gd name="adj3" fmla="val 16667"/>
          </a:avLst>
        </a:prstGeom>
        <a:solidFill>
          <a:srgbClr val="FFFF99">
            <a:alpha val="50000"/>
          </a:srgbClr>
        </a:solidFill>
        <a:ln w="9525">
          <a:solidFill>
            <a:srgbClr val="000000"/>
          </a:solidFill>
          <a:miter lim="800000"/>
          <a:headEnd/>
          <a:tailEnd/>
        </a:ln>
        <a:effectLst>
          <a:outerShdw dist="107763" dir="2700000" algn="ctr" rotWithShape="0">
            <a:srgbClr val="C0C0C0">
              <a:alpha val="50000"/>
            </a:srgbClr>
          </a:outerShdw>
        </a:effectLst>
      </xdr:spPr>
      <xdr:txBody>
        <a:bodyPr/>
        <a:lstStyle/>
        <a:p>
          <a:endParaRPr lang="de-DE"/>
        </a:p>
      </xdr:txBody>
    </xdr:sp>
    <xdr:clientData/>
  </xdr:twoCellAnchor>
  <xdr:twoCellAnchor editAs="oneCell">
    <xdr:from>
      <xdr:col>9</xdr:col>
      <xdr:colOff>0</xdr:colOff>
      <xdr:row>33</xdr:row>
      <xdr:rowOff>95250</xdr:rowOff>
    </xdr:from>
    <xdr:to>
      <xdr:col>11</xdr:col>
      <xdr:colOff>205740</xdr:colOff>
      <xdr:row>35</xdr:row>
      <xdr:rowOff>129540</xdr:rowOff>
    </xdr:to>
    <xdr:sp macro="" textlink="">
      <xdr:nvSpPr>
        <xdr:cNvPr id="8" name="AutoShape 49" hidden="1">
          <a:extLst>
            <a:ext uri="{FF2B5EF4-FFF2-40B4-BE49-F238E27FC236}">
              <a16:creationId xmlns:a16="http://schemas.microsoft.com/office/drawing/2014/main" id="{00000000-0008-0000-0000-000008000000}"/>
            </a:ext>
          </a:extLst>
        </xdr:cNvPr>
        <xdr:cNvSpPr>
          <a:spLocks noChangeArrowheads="1"/>
        </xdr:cNvSpPr>
      </xdr:nvSpPr>
      <xdr:spPr bwMode="auto">
        <a:xfrm>
          <a:off x="8258175" y="6581775"/>
          <a:ext cx="1638300" cy="361950"/>
        </a:xfrm>
        <a:prstGeom prst="wedgeRoundRectCallout">
          <a:avLst>
            <a:gd name="adj1" fmla="val -101162"/>
            <a:gd name="adj2" fmla="val 163157"/>
            <a:gd name="adj3" fmla="val 16667"/>
          </a:avLst>
        </a:prstGeom>
        <a:solidFill>
          <a:srgbClr val="FFFF99">
            <a:alpha val="50000"/>
          </a:srgbClr>
        </a:solidFill>
        <a:ln w="9525">
          <a:solidFill>
            <a:srgbClr val="000000"/>
          </a:solidFill>
          <a:miter lim="800000"/>
          <a:headEnd/>
          <a:tailEnd/>
        </a:ln>
        <a:effectLst>
          <a:outerShdw dist="107763" dir="2700000" algn="ctr" rotWithShape="0">
            <a:srgbClr val="C0C0C0">
              <a:alpha val="50000"/>
            </a:srgbClr>
          </a:outerShdw>
        </a:effectLst>
      </xdr:spPr>
      <xdr:txBody>
        <a:bodyPr/>
        <a:lstStyle/>
        <a:p>
          <a:endParaRPr lang="de-DE"/>
        </a:p>
      </xdr:txBody>
    </xdr:sp>
    <xdr:clientData/>
  </xdr:twoCellAnchor>
  <xdr:twoCellAnchor editAs="oneCell">
    <xdr:from>
      <xdr:col>8</xdr:col>
      <xdr:colOff>752475</xdr:colOff>
      <xdr:row>33</xdr:row>
      <xdr:rowOff>95250</xdr:rowOff>
    </xdr:from>
    <xdr:to>
      <xdr:col>10</xdr:col>
      <xdr:colOff>891540</xdr:colOff>
      <xdr:row>35</xdr:row>
      <xdr:rowOff>129540</xdr:rowOff>
    </xdr:to>
    <xdr:sp macro="" textlink="">
      <xdr:nvSpPr>
        <xdr:cNvPr id="9" name="AutoShape 48" hidden="1">
          <a:extLst>
            <a:ext uri="{FF2B5EF4-FFF2-40B4-BE49-F238E27FC236}">
              <a16:creationId xmlns:a16="http://schemas.microsoft.com/office/drawing/2014/main" id="{00000000-0008-0000-0000-000009000000}"/>
            </a:ext>
          </a:extLst>
        </xdr:cNvPr>
        <xdr:cNvSpPr>
          <a:spLocks noChangeArrowheads="1"/>
        </xdr:cNvSpPr>
      </xdr:nvSpPr>
      <xdr:spPr bwMode="auto">
        <a:xfrm>
          <a:off x="7762875" y="6581775"/>
          <a:ext cx="1638300" cy="361950"/>
        </a:xfrm>
        <a:prstGeom prst="wedgeRoundRectCallout">
          <a:avLst>
            <a:gd name="adj1" fmla="val -100000"/>
            <a:gd name="adj2" fmla="val 105264"/>
            <a:gd name="adj3" fmla="val 16667"/>
          </a:avLst>
        </a:prstGeom>
        <a:solidFill>
          <a:srgbClr val="FFFF99">
            <a:alpha val="50000"/>
          </a:srgbClr>
        </a:solidFill>
        <a:ln w="9525">
          <a:solidFill>
            <a:srgbClr val="000000"/>
          </a:solidFill>
          <a:miter lim="800000"/>
          <a:headEnd/>
          <a:tailEnd/>
        </a:ln>
        <a:effectLst>
          <a:outerShdw dist="107763" dir="2700000" algn="ctr" rotWithShape="0">
            <a:srgbClr val="C0C0C0">
              <a:alpha val="50000"/>
            </a:srgbClr>
          </a:outerShdw>
        </a:effectLst>
      </xdr:spPr>
      <xdr:txBody>
        <a:bodyPr vertOverflow="clip" wrap="square" lIns="27432" tIns="22860" rIns="27432" bIns="22860" anchor="ctr" upright="1"/>
        <a:lstStyle/>
        <a:p>
          <a:pPr algn="ctr" rtl="0">
            <a:defRPr sz="1000"/>
          </a:pPr>
          <a:r>
            <a:rPr lang="de-DE" sz="1000" b="1" i="0" u="none" strike="noStrike" baseline="0">
              <a:solidFill>
                <a:srgbClr val="FF6600"/>
              </a:solidFill>
              <a:latin typeface="Arial"/>
              <a:cs typeface="Arial"/>
            </a:rPr>
            <a:t>Some settings</a:t>
          </a:r>
        </a:p>
      </xdr:txBody>
    </xdr:sp>
    <xdr:clientData/>
  </xdr:twoCellAnchor>
  <xdr:twoCellAnchor editAs="oneCell">
    <xdr:from>
      <xdr:col>2</xdr:col>
      <xdr:colOff>723900</xdr:colOff>
      <xdr:row>10</xdr:row>
      <xdr:rowOff>152400</xdr:rowOff>
    </xdr:from>
    <xdr:to>
      <xdr:col>5</xdr:col>
      <xdr:colOff>762000</xdr:colOff>
      <xdr:row>14</xdr:row>
      <xdr:rowOff>0</xdr:rowOff>
    </xdr:to>
    <xdr:sp macro="" textlink="">
      <xdr:nvSpPr>
        <xdr:cNvPr id="10" name="AutoShape 51" hidden="1">
          <a:extLst>
            <a:ext uri="{FF2B5EF4-FFF2-40B4-BE49-F238E27FC236}">
              <a16:creationId xmlns:a16="http://schemas.microsoft.com/office/drawing/2014/main" id="{00000000-0008-0000-0000-00000A000000}"/>
            </a:ext>
          </a:extLst>
        </xdr:cNvPr>
        <xdr:cNvSpPr>
          <a:spLocks noChangeArrowheads="1"/>
        </xdr:cNvSpPr>
      </xdr:nvSpPr>
      <xdr:spPr bwMode="auto">
        <a:xfrm>
          <a:off x="2914650" y="2114550"/>
          <a:ext cx="2324100" cy="733425"/>
        </a:xfrm>
        <a:prstGeom prst="wedgeRoundRectCallout">
          <a:avLst>
            <a:gd name="adj1" fmla="val -160125"/>
            <a:gd name="adj2" fmla="val -151301"/>
            <a:gd name="adj3" fmla="val 16667"/>
          </a:avLst>
        </a:prstGeom>
        <a:solidFill>
          <a:srgbClr val="FFFF99">
            <a:alpha val="50000"/>
          </a:srgbClr>
        </a:solidFill>
        <a:ln w="9525">
          <a:solidFill>
            <a:srgbClr val="000000"/>
          </a:solidFill>
          <a:miter lim="800000"/>
          <a:headEnd/>
          <a:tailEnd/>
        </a:ln>
        <a:effectLst>
          <a:outerShdw dist="107763" dir="2700000" algn="ctr" rotWithShape="0">
            <a:srgbClr val="C0C0C0">
              <a:alpha val="50000"/>
            </a:srgbClr>
          </a:outerShdw>
        </a:effectLst>
      </xdr:spPr>
      <xdr:txBody>
        <a:bodyPr vertOverflow="clip" wrap="square" lIns="27432" tIns="22860" rIns="27432" bIns="22860" anchor="ctr" upright="1"/>
        <a:lstStyle/>
        <a:p>
          <a:pPr algn="ctr" rtl="0">
            <a:defRPr sz="1000"/>
          </a:pPr>
          <a:r>
            <a:rPr lang="de-DE" sz="1000" b="1" i="0" u="none" strike="noStrike" baseline="0">
              <a:solidFill>
                <a:srgbClr val="FF6600"/>
              </a:solidFill>
              <a:latin typeface="Arial"/>
              <a:cs typeface="Arial"/>
            </a:rPr>
            <a:t>Login first. </a:t>
          </a:r>
        </a:p>
        <a:p>
          <a:pPr algn="ctr" rtl="0">
            <a:defRPr sz="1000"/>
          </a:pPr>
          <a:r>
            <a:rPr lang="de-DE" sz="1000" b="1" i="0" u="none" strike="noStrike" baseline="0">
              <a:solidFill>
                <a:srgbClr val="FF6600"/>
              </a:solidFill>
              <a:latin typeface="Arial"/>
              <a:cs typeface="Arial"/>
            </a:rPr>
            <a:t>After login your name and logged in database will be entered here.</a:t>
          </a:r>
        </a:p>
        <a:p>
          <a:pPr algn="ctr" rtl="0">
            <a:defRPr sz="1000"/>
          </a:pPr>
          <a:endParaRPr lang="de-DE" sz="1000" b="1" i="0" u="none" strike="noStrike" baseline="0">
            <a:solidFill>
              <a:srgbClr val="FF6600"/>
            </a:solidFill>
            <a:latin typeface="Arial"/>
            <a:cs typeface="Arial"/>
          </a:endParaRPr>
        </a:p>
      </xdr:txBody>
    </xdr:sp>
    <xdr:clientData/>
  </xdr:twoCellAnchor>
  <xdr:twoCellAnchor editAs="oneCell">
    <xdr:from>
      <xdr:col>8</xdr:col>
      <xdr:colOff>247650</xdr:colOff>
      <xdr:row>0</xdr:row>
      <xdr:rowOff>95250</xdr:rowOff>
    </xdr:from>
    <xdr:to>
      <xdr:col>10</xdr:col>
      <xdr:colOff>171450</xdr:colOff>
      <xdr:row>2</xdr:row>
      <xdr:rowOff>114300</xdr:rowOff>
    </xdr:to>
    <xdr:sp macro="" textlink="">
      <xdr:nvSpPr>
        <xdr:cNvPr id="11" name="AutoShape 57" hidden="1">
          <a:extLst>
            <a:ext uri="{FF2B5EF4-FFF2-40B4-BE49-F238E27FC236}">
              <a16:creationId xmlns:a16="http://schemas.microsoft.com/office/drawing/2014/main" id="{00000000-0008-0000-0000-00000B000000}"/>
            </a:ext>
          </a:extLst>
        </xdr:cNvPr>
        <xdr:cNvSpPr>
          <a:spLocks noChangeArrowheads="1"/>
        </xdr:cNvSpPr>
      </xdr:nvSpPr>
      <xdr:spPr bwMode="auto">
        <a:xfrm>
          <a:off x="7258050" y="95250"/>
          <a:ext cx="1409700" cy="428625"/>
        </a:xfrm>
        <a:prstGeom prst="wedgeRoundRectCallout">
          <a:avLst>
            <a:gd name="adj1" fmla="val -27704"/>
            <a:gd name="adj2" fmla="val 130000"/>
            <a:gd name="adj3" fmla="val 16667"/>
          </a:avLst>
        </a:prstGeom>
        <a:solidFill>
          <a:srgbClr val="FFFF99">
            <a:alpha val="50000"/>
          </a:srgbClr>
        </a:solidFill>
        <a:ln w="9525">
          <a:solidFill>
            <a:srgbClr val="000000"/>
          </a:solidFill>
          <a:miter lim="800000"/>
          <a:headEnd/>
          <a:tailEnd/>
        </a:ln>
        <a:effectLst>
          <a:outerShdw dist="107763" dir="2700000" algn="ctr" rotWithShape="0">
            <a:srgbClr val="C0C0C0">
              <a:alpha val="50000"/>
            </a:srgbClr>
          </a:outerShdw>
        </a:effectLst>
      </xdr:spPr>
      <xdr:txBody>
        <a:bodyPr vertOverflow="clip" wrap="square" lIns="27432" tIns="22860" rIns="27432" bIns="22860" anchor="ctr" upright="1"/>
        <a:lstStyle/>
        <a:p>
          <a:pPr algn="ctr" rtl="0">
            <a:defRPr sz="1000"/>
          </a:pPr>
          <a:r>
            <a:rPr lang="de-DE" sz="1000" b="1" i="0" u="none" strike="noStrike" baseline="0">
              <a:solidFill>
                <a:srgbClr val="FF6600"/>
              </a:solidFill>
              <a:latin typeface="Arial"/>
              <a:cs typeface="Arial"/>
            </a:rPr>
            <a:t>Login to RequestOne (RQ1)</a:t>
          </a:r>
        </a:p>
      </xdr:txBody>
    </xdr:sp>
    <xdr:clientData/>
  </xdr:twoCellAnchor>
  <xdr:twoCellAnchor editAs="oneCell">
    <xdr:from>
      <xdr:col>9</xdr:col>
      <xdr:colOff>0</xdr:colOff>
      <xdr:row>0</xdr:row>
      <xdr:rowOff>66675</xdr:rowOff>
    </xdr:from>
    <xdr:to>
      <xdr:col>10</xdr:col>
      <xdr:colOff>1158240</xdr:colOff>
      <xdr:row>2</xdr:row>
      <xdr:rowOff>95250</xdr:rowOff>
    </xdr:to>
    <xdr:sp macro="" textlink="">
      <xdr:nvSpPr>
        <xdr:cNvPr id="12" name="AutoShape 58" hidden="1">
          <a:extLst>
            <a:ext uri="{FF2B5EF4-FFF2-40B4-BE49-F238E27FC236}">
              <a16:creationId xmlns:a16="http://schemas.microsoft.com/office/drawing/2014/main" id="{00000000-0008-0000-0000-00000C000000}"/>
            </a:ext>
          </a:extLst>
        </xdr:cNvPr>
        <xdr:cNvSpPr>
          <a:spLocks noChangeArrowheads="1"/>
        </xdr:cNvSpPr>
      </xdr:nvSpPr>
      <xdr:spPr bwMode="auto">
        <a:xfrm>
          <a:off x="9239250" y="66675"/>
          <a:ext cx="1409700" cy="428625"/>
        </a:xfrm>
        <a:prstGeom prst="wedgeRoundRectCallout">
          <a:avLst>
            <a:gd name="adj1" fmla="val -50000"/>
            <a:gd name="adj2" fmla="val 136667"/>
            <a:gd name="adj3" fmla="val 16667"/>
          </a:avLst>
        </a:prstGeom>
        <a:solidFill>
          <a:srgbClr val="FFFF99">
            <a:alpha val="50000"/>
          </a:srgbClr>
        </a:solidFill>
        <a:ln w="9525">
          <a:solidFill>
            <a:srgbClr val="000000"/>
          </a:solidFill>
          <a:miter lim="800000"/>
          <a:headEnd/>
          <a:tailEnd/>
        </a:ln>
        <a:effectLst>
          <a:outerShdw dist="107763" dir="2700000" algn="ctr" rotWithShape="0">
            <a:srgbClr val="C0C0C0">
              <a:alpha val="50000"/>
            </a:srgbClr>
          </a:outerShdw>
        </a:effectLst>
      </xdr:spPr>
      <xdr:txBody>
        <a:bodyPr vertOverflow="clip" wrap="square" lIns="27432" tIns="22860" rIns="27432" bIns="22860" anchor="ctr" upright="1"/>
        <a:lstStyle/>
        <a:p>
          <a:pPr algn="ctr" rtl="0">
            <a:defRPr sz="1000"/>
          </a:pPr>
          <a:r>
            <a:rPr lang="de-DE" sz="1000" b="1" i="0" u="none" strike="noStrike" baseline="0">
              <a:solidFill>
                <a:srgbClr val="FF6600"/>
              </a:solidFill>
              <a:latin typeface="Arial"/>
              <a:cs typeface="Arial"/>
            </a:rPr>
            <a:t>Show / hide help</a:t>
          </a:r>
        </a:p>
      </xdr:txBody>
    </xdr:sp>
    <xdr:clientData/>
  </xdr:twoCellAnchor>
  <xdr:twoCellAnchor editAs="oneCell">
    <xdr:from>
      <xdr:col>10</xdr:col>
      <xdr:colOff>219075</xdr:colOff>
      <xdr:row>1</xdr:row>
      <xdr:rowOff>85725</xdr:rowOff>
    </xdr:from>
    <xdr:to>
      <xdr:col>11</xdr:col>
      <xdr:colOff>440055</xdr:colOff>
      <xdr:row>3</xdr:row>
      <xdr:rowOff>38100</xdr:rowOff>
    </xdr:to>
    <xdr:sp macro="" textlink="">
      <xdr:nvSpPr>
        <xdr:cNvPr id="13" name="AutoShape 65" hidden="1">
          <a:extLst>
            <a:ext uri="{FF2B5EF4-FFF2-40B4-BE49-F238E27FC236}">
              <a16:creationId xmlns:a16="http://schemas.microsoft.com/office/drawing/2014/main" id="{00000000-0008-0000-0000-00000D000000}"/>
            </a:ext>
          </a:extLst>
        </xdr:cNvPr>
        <xdr:cNvSpPr>
          <a:spLocks noChangeArrowheads="1"/>
        </xdr:cNvSpPr>
      </xdr:nvSpPr>
      <xdr:spPr bwMode="auto">
        <a:xfrm>
          <a:off x="10763250" y="257175"/>
          <a:ext cx="1409700" cy="428625"/>
        </a:xfrm>
        <a:prstGeom prst="wedgeRoundRectCallout">
          <a:avLst>
            <a:gd name="adj1" fmla="val -42569"/>
            <a:gd name="adj2" fmla="val 132222"/>
            <a:gd name="adj3" fmla="val 16667"/>
          </a:avLst>
        </a:prstGeom>
        <a:solidFill>
          <a:srgbClr val="FFFF99">
            <a:alpha val="50000"/>
          </a:srgbClr>
        </a:solidFill>
        <a:ln w="9525">
          <a:solidFill>
            <a:srgbClr val="000000"/>
          </a:solidFill>
          <a:miter lim="800000"/>
          <a:headEnd/>
          <a:tailEnd/>
        </a:ln>
        <a:effectLst>
          <a:outerShdw dist="107763" dir="2700000" algn="ctr" rotWithShape="0">
            <a:srgbClr val="C0C0C0">
              <a:alpha val="50000"/>
            </a:srgbClr>
          </a:outerShdw>
        </a:effectLst>
      </xdr:spPr>
      <xdr:txBody>
        <a:bodyPr vertOverflow="clip" wrap="square" lIns="27432" tIns="22860" rIns="27432" bIns="22860" anchor="ctr" upright="1"/>
        <a:lstStyle/>
        <a:p>
          <a:pPr algn="ctr" rtl="0">
            <a:defRPr sz="1000"/>
          </a:pPr>
          <a:r>
            <a:rPr lang="de-DE" sz="1000" b="1" i="0" u="none" strike="noStrike" baseline="0">
              <a:solidFill>
                <a:srgbClr val="FF6600"/>
              </a:solidFill>
              <a:latin typeface="Arial"/>
              <a:cs typeface="Arial"/>
            </a:rPr>
            <a:t>Rate RQ1-Navigator</a:t>
          </a:r>
        </a:p>
      </xdr:txBody>
    </xdr:sp>
    <xdr:clientData/>
  </xdr:twoCellAnchor>
  <xdr:twoCellAnchor>
    <xdr:from>
      <xdr:col>10</xdr:col>
      <xdr:colOff>600076</xdr:colOff>
      <xdr:row>8</xdr:row>
      <xdr:rowOff>180977</xdr:rowOff>
    </xdr:from>
    <xdr:to>
      <xdr:col>11</xdr:col>
      <xdr:colOff>1371601</xdr:colOff>
      <xdr:row>10</xdr:row>
      <xdr:rowOff>171450</xdr:rowOff>
    </xdr:to>
    <xdr:sp macro="[0]!btnLogin_Click" textlink="">
      <xdr:nvSpPr>
        <xdr:cNvPr id="15" name="Rounded Rectangle 14">
          <a:extLst>
            <a:ext uri="{FF2B5EF4-FFF2-40B4-BE49-F238E27FC236}">
              <a16:creationId xmlns:a16="http://schemas.microsoft.com/office/drawing/2014/main" id="{00000000-0008-0000-0000-00000F000000}"/>
            </a:ext>
          </a:extLst>
        </xdr:cNvPr>
        <xdr:cNvSpPr/>
      </xdr:nvSpPr>
      <xdr:spPr bwMode="auto">
        <a:xfrm>
          <a:off x="9077326" y="1724027"/>
          <a:ext cx="1952625" cy="409573"/>
        </a:xfrm>
        <a:prstGeom prst="roundRect">
          <a:avLst/>
        </a:prstGeom>
        <a:solidFill>
          <a:schemeClr val="accent6">
            <a:lumMod val="40000"/>
            <a:lumOff val="60000"/>
          </a:schemeClr>
        </a:solidFill>
        <a:ln>
          <a:headEnd type="none" w="med" len="med"/>
          <a:tailEnd type="none" w="med" len="med"/>
        </a:ln>
      </xdr:spPr>
      <xdr:style>
        <a:lnRef idx="1">
          <a:schemeClr val="accent1"/>
        </a:lnRef>
        <a:fillRef idx="2">
          <a:schemeClr val="accent1"/>
        </a:fillRef>
        <a:effectRef idx="1">
          <a:schemeClr val="accent1"/>
        </a:effectRef>
        <a:fontRef idx="minor">
          <a:schemeClr val="dk1"/>
        </a:fontRef>
      </xdr:style>
      <xdr:txBody>
        <a:bodyPr vertOverflow="clip" wrap="square" lIns="18288" tIns="0" rIns="0" bIns="0" rtlCol="0" anchor="ctr" upright="1"/>
        <a:lstStyle/>
        <a:p>
          <a:pPr algn="ctr"/>
          <a:r>
            <a:rPr lang="en-US" sz="1800" b="1">
              <a:latin typeface="Tahoma" pitchFamily="34" charset="0"/>
              <a:ea typeface="Tahoma" pitchFamily="34" charset="0"/>
              <a:cs typeface="Tahoma" pitchFamily="34" charset="0"/>
            </a:rPr>
            <a:t>Login RQ1</a:t>
          </a:r>
        </a:p>
      </xdr:txBody>
    </xdr:sp>
    <xdr:clientData/>
  </xdr:twoCellAnchor>
  <xdr:twoCellAnchor>
    <xdr:from>
      <xdr:col>10</xdr:col>
      <xdr:colOff>557214</xdr:colOff>
      <xdr:row>11</xdr:row>
      <xdr:rowOff>104775</xdr:rowOff>
    </xdr:from>
    <xdr:to>
      <xdr:col>11</xdr:col>
      <xdr:colOff>1414463</xdr:colOff>
      <xdr:row>13</xdr:row>
      <xdr:rowOff>123823</xdr:rowOff>
    </xdr:to>
    <xdr:sp macro="[0]!GenerateReportFunc" textlink="">
      <xdr:nvSpPr>
        <xdr:cNvPr id="16" name="Rounded Rectangle 15">
          <a:extLst>
            <a:ext uri="{FF2B5EF4-FFF2-40B4-BE49-F238E27FC236}">
              <a16:creationId xmlns:a16="http://schemas.microsoft.com/office/drawing/2014/main" id="{00000000-0008-0000-0000-000010000000}"/>
            </a:ext>
          </a:extLst>
        </xdr:cNvPr>
        <xdr:cNvSpPr/>
      </xdr:nvSpPr>
      <xdr:spPr bwMode="auto">
        <a:xfrm>
          <a:off x="9034464" y="2276475"/>
          <a:ext cx="2038349" cy="476248"/>
        </a:xfrm>
        <a:prstGeom prst="roundRect">
          <a:avLst/>
        </a:prstGeom>
        <a:solidFill>
          <a:schemeClr val="accent3">
            <a:lumMod val="40000"/>
            <a:lumOff val="60000"/>
          </a:schemeClr>
        </a:solidFill>
        <a:ln>
          <a:headEnd type="none" w="med" len="med"/>
          <a:tailEnd type="none" w="med" len="med"/>
        </a:ln>
      </xdr:spPr>
      <xdr:style>
        <a:lnRef idx="1">
          <a:schemeClr val="accent1"/>
        </a:lnRef>
        <a:fillRef idx="2">
          <a:schemeClr val="accent1"/>
        </a:fillRef>
        <a:effectRef idx="1">
          <a:schemeClr val="accent1"/>
        </a:effectRef>
        <a:fontRef idx="minor">
          <a:schemeClr val="dk1"/>
        </a:fontRef>
      </xdr:style>
      <xdr:txBody>
        <a:bodyPr vertOverflow="clip" wrap="square" lIns="18288" tIns="0" rIns="0" bIns="0" rtlCol="0" anchor="ctr" upright="1"/>
        <a:lstStyle/>
        <a:p>
          <a:pPr marL="0" indent="0" algn="ctr"/>
          <a:r>
            <a:rPr lang="en-US" sz="1800" b="1">
              <a:solidFill>
                <a:schemeClr val="dk1"/>
              </a:solidFill>
              <a:latin typeface="Tahoma" pitchFamily="34" charset="0"/>
              <a:ea typeface="Tahoma" pitchFamily="34" charset="0"/>
              <a:cs typeface="Tahoma" pitchFamily="34" charset="0"/>
            </a:rPr>
            <a:t>Generate Report</a:t>
          </a:r>
        </a:p>
      </xdr:txBody>
    </xdr:sp>
    <xdr:clientData/>
  </xdr:twoCellAnchor>
  <xdr:twoCellAnchor>
    <xdr:from>
      <xdr:col>10</xdr:col>
      <xdr:colOff>114301</xdr:colOff>
      <xdr:row>14</xdr:row>
      <xdr:rowOff>28574</xdr:rowOff>
    </xdr:from>
    <xdr:to>
      <xdr:col>11</xdr:col>
      <xdr:colOff>1857375</xdr:colOff>
      <xdr:row>15</xdr:row>
      <xdr:rowOff>323847</xdr:rowOff>
    </xdr:to>
    <xdr:sp macro="[0]!GenerateClosedReport" textlink="">
      <xdr:nvSpPr>
        <xdr:cNvPr id="17" name="Rounded Rectangle 16">
          <a:extLst>
            <a:ext uri="{FF2B5EF4-FFF2-40B4-BE49-F238E27FC236}">
              <a16:creationId xmlns:a16="http://schemas.microsoft.com/office/drawing/2014/main" id="{00000000-0008-0000-0000-000011000000}"/>
            </a:ext>
          </a:extLst>
        </xdr:cNvPr>
        <xdr:cNvSpPr/>
      </xdr:nvSpPr>
      <xdr:spPr bwMode="auto">
        <a:xfrm>
          <a:off x="8591551" y="2876549"/>
          <a:ext cx="2924174" cy="457198"/>
        </a:xfrm>
        <a:prstGeom prst="roundRect">
          <a:avLst/>
        </a:prstGeom>
        <a:solidFill>
          <a:schemeClr val="accent3">
            <a:lumMod val="60000"/>
            <a:lumOff val="40000"/>
          </a:schemeClr>
        </a:solidFill>
        <a:ln>
          <a:headEnd type="none" w="med" len="med"/>
          <a:tailEnd type="none" w="med" len="med"/>
        </a:ln>
      </xdr:spPr>
      <xdr:style>
        <a:lnRef idx="1">
          <a:schemeClr val="accent1"/>
        </a:lnRef>
        <a:fillRef idx="2">
          <a:schemeClr val="accent1"/>
        </a:fillRef>
        <a:effectRef idx="1">
          <a:schemeClr val="accent1"/>
        </a:effectRef>
        <a:fontRef idx="minor">
          <a:schemeClr val="dk1"/>
        </a:fontRef>
      </xdr:style>
      <xdr:txBody>
        <a:bodyPr vertOverflow="clip" wrap="square" lIns="18288" tIns="0" rIns="0" bIns="0" rtlCol="0" anchor="ctr" upright="1"/>
        <a:lstStyle/>
        <a:p>
          <a:pPr marL="0" indent="0" algn="ctr"/>
          <a:r>
            <a:rPr lang="en-US" sz="1800" b="1">
              <a:solidFill>
                <a:schemeClr val="dk1"/>
              </a:solidFill>
              <a:latin typeface="Tahoma" pitchFamily="34" charset="0"/>
              <a:ea typeface="Tahoma" pitchFamily="34" charset="0"/>
              <a:cs typeface="Tahoma" pitchFamily="34" charset="0"/>
            </a:rPr>
            <a:t>Generate Closed Report</a:t>
          </a:r>
        </a:p>
      </xdr:txBody>
    </xdr:sp>
    <xdr:clientData/>
  </xdr:twoCellAnchor>
  <xdr:twoCellAnchor>
    <xdr:from>
      <xdr:col>1</xdr:col>
      <xdr:colOff>9526</xdr:colOff>
      <xdr:row>0</xdr:row>
      <xdr:rowOff>123825</xdr:rowOff>
    </xdr:from>
    <xdr:to>
      <xdr:col>7</xdr:col>
      <xdr:colOff>752475</xdr:colOff>
      <xdr:row>4</xdr:row>
      <xdr:rowOff>95249</xdr:rowOff>
    </xdr:to>
    <xdr:sp macro="" textlink="">
      <xdr:nvSpPr>
        <xdr:cNvPr id="18" name="WordArt 31">
          <a:extLst>
            <a:ext uri="{FF2B5EF4-FFF2-40B4-BE49-F238E27FC236}">
              <a16:creationId xmlns:a16="http://schemas.microsoft.com/office/drawing/2014/main" id="{00000000-0008-0000-0000-000012000000}"/>
            </a:ext>
          </a:extLst>
        </xdr:cNvPr>
        <xdr:cNvSpPr>
          <a:spLocks noChangeArrowheads="1" noChangeShapeType="1" noTextEdit="1"/>
        </xdr:cNvSpPr>
      </xdr:nvSpPr>
      <xdr:spPr bwMode="auto">
        <a:xfrm>
          <a:off x="219076" y="123825"/>
          <a:ext cx="6724649" cy="790574"/>
        </a:xfrm>
        <a:prstGeom prst="rect">
          <a:avLst/>
        </a:prstGeom>
      </xdr:spPr>
      <xdr:txBody>
        <a:bodyPr wrap="none" fromWordArt="1">
          <a:prstTxWarp prst="textPlain">
            <a:avLst>
              <a:gd name="adj" fmla="val 50000"/>
            </a:avLst>
          </a:prstTxWarp>
          <a:scene3d>
            <a:camera prst="orthographicFront"/>
            <a:lightRig rig="glow" dir="tl">
              <a:rot lat="0" lon="0" rev="5400000"/>
            </a:lightRig>
          </a:scene3d>
          <a:sp3d contourW="12700">
            <a:bevelT w="25400" h="25400"/>
            <a:contourClr>
              <a:schemeClr val="accent6">
                <a:shade val="73000"/>
              </a:schemeClr>
            </a:contourClr>
          </a:sp3d>
        </a:bodyPr>
        <a:lstStyle/>
        <a:p>
          <a:pPr algn="ctr" rtl="0"/>
          <a:r>
            <a:rPr lang="de-DE" sz="3600" b="1" kern="10" cap="none" spc="0">
              <a:ln w="11430">
                <a:solidFill>
                  <a:schemeClr val="tx2">
                    <a:lumMod val="60000"/>
                    <a:lumOff val="40000"/>
                  </a:schemeClr>
                </a:solidFill>
              </a:ln>
              <a:solidFill>
                <a:schemeClr val="tx2">
                  <a:lumMod val="75000"/>
                </a:schemeClr>
              </a:solidFill>
              <a:effectLst>
                <a:outerShdw blurRad="80000" dist="40000" dir="5040000" algn="tl">
                  <a:srgbClr val="000000">
                    <a:alpha val="30000"/>
                  </a:srgbClr>
                </a:outerShdw>
              </a:effectLst>
              <a:latin typeface="Arial" pitchFamily="34" charset="0"/>
              <a:cs typeface="Arial" pitchFamily="34" charset="0"/>
            </a:rPr>
            <a:t>RQ1 Checker</a:t>
          </a:r>
        </a:p>
      </xdr:txBody>
    </xdr:sp>
    <xdr:clientData/>
  </xdr:twoCellAnchor>
  <xdr:twoCellAnchor editAs="oneCell">
    <xdr:from>
      <xdr:col>6</xdr:col>
      <xdr:colOff>104775</xdr:colOff>
      <xdr:row>11</xdr:row>
      <xdr:rowOff>66675</xdr:rowOff>
    </xdr:from>
    <xdr:to>
      <xdr:col>8</xdr:col>
      <xdr:colOff>248285</xdr:colOff>
      <xdr:row>13</xdr:row>
      <xdr:rowOff>171450</xdr:rowOff>
    </xdr:to>
    <xdr:sp macro="" textlink="">
      <xdr:nvSpPr>
        <xdr:cNvPr id="19" name="AutoShape 42" hidden="1">
          <a:extLst>
            <a:ext uri="{FF2B5EF4-FFF2-40B4-BE49-F238E27FC236}">
              <a16:creationId xmlns:a16="http://schemas.microsoft.com/office/drawing/2014/main" id="{00000000-0008-0000-0000-000013000000}"/>
            </a:ext>
          </a:extLst>
        </xdr:cNvPr>
        <xdr:cNvSpPr>
          <a:spLocks noChangeArrowheads="1"/>
        </xdr:cNvSpPr>
      </xdr:nvSpPr>
      <xdr:spPr bwMode="auto">
        <a:xfrm>
          <a:off x="5029200" y="2238375"/>
          <a:ext cx="2362200" cy="552450"/>
        </a:xfrm>
        <a:prstGeom prst="wedgeRoundRectCallout">
          <a:avLst>
            <a:gd name="adj1" fmla="val -45162"/>
            <a:gd name="adj2" fmla="val -102542"/>
            <a:gd name="adj3" fmla="val 16667"/>
          </a:avLst>
        </a:prstGeom>
        <a:solidFill>
          <a:srgbClr val="FFFF99">
            <a:alpha val="50000"/>
          </a:srgbClr>
        </a:solidFill>
        <a:ln w="9525">
          <a:solidFill>
            <a:srgbClr val="000000"/>
          </a:solidFill>
          <a:miter lim="800000"/>
          <a:headEnd/>
          <a:tailEnd/>
        </a:ln>
        <a:effectLst>
          <a:outerShdw dist="107763" dir="2700000" algn="ctr" rotWithShape="0">
            <a:srgbClr val="C0C0C0">
              <a:alpha val="50000"/>
            </a:srgbClr>
          </a:outerShdw>
        </a:effectLst>
      </xdr:spPr>
      <xdr:txBody>
        <a:bodyPr vertOverflow="clip" wrap="square" lIns="27432" tIns="22860" rIns="27432" bIns="22860" anchor="ctr" upright="1"/>
        <a:lstStyle/>
        <a:p>
          <a:pPr algn="ctr" rtl="0">
            <a:defRPr sz="1000"/>
          </a:pPr>
          <a:r>
            <a:rPr lang="de-DE" sz="1000" b="1" i="0" u="none" strike="noStrike" baseline="0">
              <a:solidFill>
                <a:srgbClr val="FF6600"/>
              </a:solidFill>
              <a:latin typeface="Arial"/>
              <a:cs typeface="Arial"/>
            </a:rPr>
            <a:t>Click here if you have a question, a proposal or you have found a bug</a:t>
          </a:r>
        </a:p>
      </xdr:txBody>
    </xdr:sp>
    <xdr:clientData/>
  </xdr:twoCellAnchor>
  <xdr:twoCellAnchor editAs="oneCell">
    <xdr:from>
      <xdr:col>6</xdr:col>
      <xdr:colOff>104775</xdr:colOff>
      <xdr:row>9</xdr:row>
      <xdr:rowOff>66675</xdr:rowOff>
    </xdr:from>
    <xdr:to>
      <xdr:col>8</xdr:col>
      <xdr:colOff>248285</xdr:colOff>
      <xdr:row>11</xdr:row>
      <xdr:rowOff>167640</xdr:rowOff>
    </xdr:to>
    <xdr:sp macro="" textlink="">
      <xdr:nvSpPr>
        <xdr:cNvPr id="20" name="AutoShape 42" hidden="1">
          <a:extLst>
            <a:ext uri="{FF2B5EF4-FFF2-40B4-BE49-F238E27FC236}">
              <a16:creationId xmlns:a16="http://schemas.microsoft.com/office/drawing/2014/main" id="{00000000-0008-0000-0000-000014000000}"/>
            </a:ext>
          </a:extLst>
        </xdr:cNvPr>
        <xdr:cNvSpPr>
          <a:spLocks noChangeArrowheads="1"/>
        </xdr:cNvSpPr>
      </xdr:nvSpPr>
      <xdr:spPr bwMode="auto">
        <a:xfrm>
          <a:off x="5029200" y="1819275"/>
          <a:ext cx="2362200" cy="523875"/>
        </a:xfrm>
        <a:prstGeom prst="wedgeRoundRectCallout">
          <a:avLst>
            <a:gd name="adj1" fmla="val -45162"/>
            <a:gd name="adj2" fmla="val -102542"/>
            <a:gd name="adj3" fmla="val 16667"/>
          </a:avLst>
        </a:prstGeom>
        <a:solidFill>
          <a:srgbClr val="FFFF99">
            <a:alpha val="50000"/>
          </a:srgbClr>
        </a:solidFill>
        <a:ln w="9525">
          <a:solidFill>
            <a:srgbClr val="000000"/>
          </a:solidFill>
          <a:miter lim="800000"/>
          <a:headEnd/>
          <a:tailEnd/>
        </a:ln>
        <a:effectLst>
          <a:outerShdw dist="107763" dir="2700000" algn="ctr" rotWithShape="0">
            <a:srgbClr val="C0C0C0">
              <a:alpha val="50000"/>
            </a:srgbClr>
          </a:outerShdw>
        </a:effectLst>
      </xdr:spPr>
      <xdr:txBody>
        <a:bodyPr vertOverflow="clip" wrap="square" lIns="27432" tIns="22860" rIns="27432" bIns="22860" anchor="ctr" upright="1"/>
        <a:lstStyle/>
        <a:p>
          <a:pPr algn="ctr" rtl="0">
            <a:defRPr sz="1000"/>
          </a:pPr>
          <a:r>
            <a:rPr lang="de-DE" sz="1000" b="1" i="0" u="none" strike="noStrike" baseline="0">
              <a:solidFill>
                <a:srgbClr val="FF6600"/>
              </a:solidFill>
              <a:latin typeface="Arial"/>
              <a:cs typeface="Arial"/>
            </a:rPr>
            <a:t>Click here if you have a question, a proposal or you have found a bug</a:t>
          </a:r>
        </a:p>
      </xdr:txBody>
    </xdr:sp>
    <xdr:clientData/>
  </xdr:twoCellAnchor>
  <xdr:twoCellAnchor editAs="oneCell">
    <xdr:from>
      <xdr:col>6</xdr:col>
      <xdr:colOff>104775</xdr:colOff>
      <xdr:row>8</xdr:row>
      <xdr:rowOff>66675</xdr:rowOff>
    </xdr:from>
    <xdr:to>
      <xdr:col>8</xdr:col>
      <xdr:colOff>248285</xdr:colOff>
      <xdr:row>10</xdr:row>
      <xdr:rowOff>167640</xdr:rowOff>
    </xdr:to>
    <xdr:sp macro="" textlink="">
      <xdr:nvSpPr>
        <xdr:cNvPr id="21" name="AutoShape 42" hidden="1">
          <a:extLst>
            <a:ext uri="{FF2B5EF4-FFF2-40B4-BE49-F238E27FC236}">
              <a16:creationId xmlns:a16="http://schemas.microsoft.com/office/drawing/2014/main" id="{00000000-0008-0000-0000-000015000000}"/>
            </a:ext>
          </a:extLst>
        </xdr:cNvPr>
        <xdr:cNvSpPr>
          <a:spLocks noChangeArrowheads="1"/>
        </xdr:cNvSpPr>
      </xdr:nvSpPr>
      <xdr:spPr bwMode="auto">
        <a:xfrm>
          <a:off x="5029200" y="1609725"/>
          <a:ext cx="2362200" cy="523875"/>
        </a:xfrm>
        <a:prstGeom prst="wedgeRoundRectCallout">
          <a:avLst>
            <a:gd name="adj1" fmla="val -45162"/>
            <a:gd name="adj2" fmla="val -102542"/>
            <a:gd name="adj3" fmla="val 16667"/>
          </a:avLst>
        </a:prstGeom>
        <a:solidFill>
          <a:srgbClr val="FFFF99">
            <a:alpha val="50000"/>
          </a:srgbClr>
        </a:solidFill>
        <a:ln w="9525">
          <a:solidFill>
            <a:srgbClr val="000000"/>
          </a:solidFill>
          <a:miter lim="800000"/>
          <a:headEnd/>
          <a:tailEnd/>
        </a:ln>
        <a:effectLst>
          <a:outerShdw dist="107763" dir="2700000" algn="ctr" rotWithShape="0">
            <a:srgbClr val="C0C0C0">
              <a:alpha val="50000"/>
            </a:srgbClr>
          </a:outerShdw>
        </a:effectLst>
      </xdr:spPr>
      <xdr:txBody>
        <a:bodyPr vertOverflow="clip" wrap="square" lIns="27432" tIns="22860" rIns="27432" bIns="22860" anchor="ctr" upright="1"/>
        <a:lstStyle/>
        <a:p>
          <a:pPr algn="ctr" rtl="0">
            <a:defRPr sz="1000"/>
          </a:pPr>
          <a:r>
            <a:rPr lang="de-DE" sz="1000" b="1" i="0" u="none" strike="noStrike" baseline="0">
              <a:solidFill>
                <a:srgbClr val="FF6600"/>
              </a:solidFill>
              <a:latin typeface="Arial"/>
              <a:cs typeface="Arial"/>
            </a:rPr>
            <a:t>Click here if you have a question, a proposal or you have found a bug</a:t>
          </a:r>
        </a:p>
      </xdr:txBody>
    </xdr:sp>
    <xdr:clientData/>
  </xdr:twoCellAnchor>
  <xdr:twoCellAnchor editAs="oneCell">
    <xdr:from>
      <xdr:col>6</xdr:col>
      <xdr:colOff>104775</xdr:colOff>
      <xdr:row>7</xdr:row>
      <xdr:rowOff>66675</xdr:rowOff>
    </xdr:from>
    <xdr:to>
      <xdr:col>8</xdr:col>
      <xdr:colOff>248285</xdr:colOff>
      <xdr:row>9</xdr:row>
      <xdr:rowOff>167640</xdr:rowOff>
    </xdr:to>
    <xdr:sp macro="" textlink="">
      <xdr:nvSpPr>
        <xdr:cNvPr id="22" name="AutoShape 42" hidden="1">
          <a:extLst>
            <a:ext uri="{FF2B5EF4-FFF2-40B4-BE49-F238E27FC236}">
              <a16:creationId xmlns:a16="http://schemas.microsoft.com/office/drawing/2014/main" id="{00000000-0008-0000-0000-000016000000}"/>
            </a:ext>
          </a:extLst>
        </xdr:cNvPr>
        <xdr:cNvSpPr>
          <a:spLocks noChangeArrowheads="1"/>
        </xdr:cNvSpPr>
      </xdr:nvSpPr>
      <xdr:spPr bwMode="auto">
        <a:xfrm>
          <a:off x="5029200" y="1438275"/>
          <a:ext cx="2362200" cy="485775"/>
        </a:xfrm>
        <a:prstGeom prst="wedgeRoundRectCallout">
          <a:avLst>
            <a:gd name="adj1" fmla="val -45162"/>
            <a:gd name="adj2" fmla="val -102542"/>
            <a:gd name="adj3" fmla="val 16667"/>
          </a:avLst>
        </a:prstGeom>
        <a:solidFill>
          <a:srgbClr val="FFFF99">
            <a:alpha val="50000"/>
          </a:srgbClr>
        </a:solidFill>
        <a:ln w="9525">
          <a:solidFill>
            <a:srgbClr val="000000"/>
          </a:solidFill>
          <a:miter lim="800000"/>
          <a:headEnd/>
          <a:tailEnd/>
        </a:ln>
        <a:effectLst>
          <a:outerShdw dist="107763" dir="2700000" algn="ctr" rotWithShape="0">
            <a:srgbClr val="C0C0C0">
              <a:alpha val="50000"/>
            </a:srgbClr>
          </a:outerShdw>
        </a:effectLst>
      </xdr:spPr>
      <xdr:txBody>
        <a:bodyPr vertOverflow="clip" wrap="square" lIns="27432" tIns="22860" rIns="27432" bIns="22860" anchor="ctr" upright="1"/>
        <a:lstStyle/>
        <a:p>
          <a:pPr algn="ctr" rtl="0">
            <a:defRPr sz="1000"/>
          </a:pPr>
          <a:r>
            <a:rPr lang="de-DE" sz="1000" b="1" i="0" u="none" strike="noStrike" baseline="0">
              <a:solidFill>
                <a:srgbClr val="FF6600"/>
              </a:solidFill>
              <a:latin typeface="Arial"/>
              <a:cs typeface="Arial"/>
            </a:rPr>
            <a:t>Click here if you have a question, a proposal or you have found a bug</a:t>
          </a:r>
        </a:p>
      </xdr:txBody>
    </xdr:sp>
    <xdr:clientData/>
  </xdr:twoCellAnchor>
  <xdr:twoCellAnchor editAs="oneCell">
    <xdr:from>
      <xdr:col>6</xdr:col>
      <xdr:colOff>104775</xdr:colOff>
      <xdr:row>8</xdr:row>
      <xdr:rowOff>66675</xdr:rowOff>
    </xdr:from>
    <xdr:to>
      <xdr:col>8</xdr:col>
      <xdr:colOff>248285</xdr:colOff>
      <xdr:row>10</xdr:row>
      <xdr:rowOff>167640</xdr:rowOff>
    </xdr:to>
    <xdr:sp macro="" textlink="">
      <xdr:nvSpPr>
        <xdr:cNvPr id="23" name="AutoShape 42" hidden="1">
          <a:extLst>
            <a:ext uri="{FF2B5EF4-FFF2-40B4-BE49-F238E27FC236}">
              <a16:creationId xmlns:a16="http://schemas.microsoft.com/office/drawing/2014/main" id="{00000000-0008-0000-0000-000017000000}"/>
            </a:ext>
          </a:extLst>
        </xdr:cNvPr>
        <xdr:cNvSpPr>
          <a:spLocks noChangeArrowheads="1"/>
        </xdr:cNvSpPr>
      </xdr:nvSpPr>
      <xdr:spPr bwMode="auto">
        <a:xfrm>
          <a:off x="5029200" y="1609725"/>
          <a:ext cx="2362200" cy="523875"/>
        </a:xfrm>
        <a:prstGeom prst="wedgeRoundRectCallout">
          <a:avLst>
            <a:gd name="adj1" fmla="val -45162"/>
            <a:gd name="adj2" fmla="val -102542"/>
            <a:gd name="adj3" fmla="val 16667"/>
          </a:avLst>
        </a:prstGeom>
        <a:solidFill>
          <a:srgbClr val="FFFF99">
            <a:alpha val="50000"/>
          </a:srgbClr>
        </a:solidFill>
        <a:ln w="9525">
          <a:solidFill>
            <a:srgbClr val="000000"/>
          </a:solidFill>
          <a:miter lim="800000"/>
          <a:headEnd/>
          <a:tailEnd/>
        </a:ln>
        <a:effectLst>
          <a:outerShdw dist="107763" dir="2700000" algn="ctr" rotWithShape="0">
            <a:srgbClr val="C0C0C0">
              <a:alpha val="50000"/>
            </a:srgbClr>
          </a:outerShdw>
        </a:effectLst>
      </xdr:spPr>
      <xdr:txBody>
        <a:bodyPr vertOverflow="clip" wrap="square" lIns="27432" tIns="22860" rIns="27432" bIns="22860" anchor="ctr" upright="1"/>
        <a:lstStyle/>
        <a:p>
          <a:pPr algn="ctr" rtl="0">
            <a:defRPr sz="1000"/>
          </a:pPr>
          <a:r>
            <a:rPr lang="de-DE" sz="1000" b="1" i="0" u="none" strike="noStrike" baseline="0">
              <a:solidFill>
                <a:srgbClr val="FF6600"/>
              </a:solidFill>
              <a:latin typeface="Arial"/>
              <a:cs typeface="Arial"/>
            </a:rPr>
            <a:t>Click here if you have a question, a proposal or you have found a bug</a:t>
          </a:r>
        </a:p>
      </xdr:txBody>
    </xdr:sp>
    <xdr:clientData/>
  </xdr:twoCellAnchor>
  <xdr:twoCellAnchor editAs="oneCell">
    <xdr:from>
      <xdr:col>10</xdr:col>
      <xdr:colOff>219075</xdr:colOff>
      <xdr:row>1</xdr:row>
      <xdr:rowOff>85725</xdr:rowOff>
    </xdr:from>
    <xdr:to>
      <xdr:col>11</xdr:col>
      <xdr:colOff>440055</xdr:colOff>
      <xdr:row>3</xdr:row>
      <xdr:rowOff>38100</xdr:rowOff>
    </xdr:to>
    <xdr:sp macro="" textlink="">
      <xdr:nvSpPr>
        <xdr:cNvPr id="24" name="AutoShape 65" hidden="1">
          <a:extLst>
            <a:ext uri="{FF2B5EF4-FFF2-40B4-BE49-F238E27FC236}">
              <a16:creationId xmlns:a16="http://schemas.microsoft.com/office/drawing/2014/main" id="{00000000-0008-0000-0000-000018000000}"/>
            </a:ext>
          </a:extLst>
        </xdr:cNvPr>
        <xdr:cNvSpPr>
          <a:spLocks noChangeArrowheads="1"/>
        </xdr:cNvSpPr>
      </xdr:nvSpPr>
      <xdr:spPr bwMode="auto">
        <a:xfrm>
          <a:off x="10201275" y="257175"/>
          <a:ext cx="1409700" cy="428625"/>
        </a:xfrm>
        <a:prstGeom prst="wedgeRoundRectCallout">
          <a:avLst>
            <a:gd name="adj1" fmla="val -42569"/>
            <a:gd name="adj2" fmla="val 132222"/>
            <a:gd name="adj3" fmla="val 16667"/>
          </a:avLst>
        </a:prstGeom>
        <a:solidFill>
          <a:srgbClr val="FFFF99">
            <a:alpha val="50000"/>
          </a:srgbClr>
        </a:solidFill>
        <a:ln w="9525">
          <a:solidFill>
            <a:srgbClr val="000000"/>
          </a:solidFill>
          <a:miter lim="800000"/>
          <a:headEnd/>
          <a:tailEnd/>
        </a:ln>
        <a:effectLst>
          <a:outerShdw dist="107763" dir="2700000" algn="ctr" rotWithShape="0">
            <a:srgbClr val="C0C0C0">
              <a:alpha val="50000"/>
            </a:srgbClr>
          </a:outerShdw>
        </a:effectLst>
      </xdr:spPr>
      <xdr:txBody>
        <a:bodyPr vertOverflow="clip" wrap="square" lIns="27432" tIns="22860" rIns="27432" bIns="22860" anchor="ctr" upright="1"/>
        <a:lstStyle/>
        <a:p>
          <a:pPr algn="ctr" rtl="0">
            <a:defRPr sz="1000"/>
          </a:pPr>
          <a:r>
            <a:rPr lang="de-DE" sz="1000" b="1" i="0" u="none" strike="noStrike" baseline="0">
              <a:solidFill>
                <a:srgbClr val="FF6600"/>
              </a:solidFill>
              <a:latin typeface="Arial"/>
              <a:cs typeface="Arial"/>
            </a:rPr>
            <a:t>Rate RQ1-Navigator</a:t>
          </a:r>
        </a:p>
      </xdr:txBody>
    </xdr:sp>
    <xdr:clientData/>
  </xdr:twoCellAnchor>
  <xdr:twoCellAnchor>
    <xdr:from>
      <xdr:col>10</xdr:col>
      <xdr:colOff>597980</xdr:colOff>
      <xdr:row>16</xdr:row>
      <xdr:rowOff>142875</xdr:rowOff>
    </xdr:from>
    <xdr:to>
      <xdr:col>11</xdr:col>
      <xdr:colOff>1373696</xdr:colOff>
      <xdr:row>18</xdr:row>
      <xdr:rowOff>173355</xdr:rowOff>
    </xdr:to>
    <xdr:sp macro="[0]!ClearReports" textlink="">
      <xdr:nvSpPr>
        <xdr:cNvPr id="25" name="Rounded Rectangle 24">
          <a:extLst>
            <a:ext uri="{FF2B5EF4-FFF2-40B4-BE49-F238E27FC236}">
              <a16:creationId xmlns:a16="http://schemas.microsoft.com/office/drawing/2014/main" id="{00000000-0008-0000-0000-000019000000}"/>
            </a:ext>
          </a:extLst>
        </xdr:cNvPr>
        <xdr:cNvSpPr/>
      </xdr:nvSpPr>
      <xdr:spPr bwMode="auto">
        <a:xfrm>
          <a:off x="9075230" y="3476625"/>
          <a:ext cx="1956816" cy="411480"/>
        </a:xfrm>
        <a:prstGeom prst="roundRect">
          <a:avLst/>
        </a:prstGeom>
        <a:solidFill>
          <a:schemeClr val="accent6">
            <a:lumMod val="60000"/>
            <a:lumOff val="40000"/>
          </a:schemeClr>
        </a:solidFill>
        <a:ln>
          <a:headEnd type="none" w="med" len="med"/>
          <a:tailEnd type="none" w="med" len="med"/>
        </a:ln>
      </xdr:spPr>
      <xdr:style>
        <a:lnRef idx="1">
          <a:schemeClr val="accent1"/>
        </a:lnRef>
        <a:fillRef idx="2">
          <a:schemeClr val="accent1"/>
        </a:fillRef>
        <a:effectRef idx="1">
          <a:schemeClr val="accent1"/>
        </a:effectRef>
        <a:fontRef idx="minor">
          <a:schemeClr val="dk1"/>
        </a:fontRef>
      </xdr:style>
      <xdr:txBody>
        <a:bodyPr vertOverflow="clip" wrap="square" lIns="18288" tIns="0" rIns="0" bIns="0" rtlCol="0" anchor="ctr" upright="1"/>
        <a:lstStyle/>
        <a:p>
          <a:pPr marL="0" indent="0" algn="ctr"/>
          <a:r>
            <a:rPr lang="en-US" sz="1800" b="1">
              <a:solidFill>
                <a:schemeClr val="dk1"/>
              </a:solidFill>
              <a:latin typeface="Tahoma" pitchFamily="34" charset="0"/>
              <a:ea typeface="Tahoma" pitchFamily="34" charset="0"/>
              <a:cs typeface="Tahoma" pitchFamily="34" charset="0"/>
            </a:rPr>
            <a:t>Clear Reports</a:t>
          </a:r>
        </a:p>
      </xdr:txBody>
    </xdr:sp>
    <xdr:clientData/>
  </xdr:twoCellAnchor>
  <xdr:twoCellAnchor>
    <xdr:from>
      <xdr:col>10</xdr:col>
      <xdr:colOff>285751</xdr:colOff>
      <xdr:row>19</xdr:row>
      <xdr:rowOff>142875</xdr:rowOff>
    </xdr:from>
    <xdr:to>
      <xdr:col>11</xdr:col>
      <xdr:colOff>1685926</xdr:colOff>
      <xdr:row>22</xdr:row>
      <xdr:rowOff>47623</xdr:rowOff>
    </xdr:to>
    <xdr:sp macro="[0]!Generate_DFMReport" textlink="">
      <xdr:nvSpPr>
        <xdr:cNvPr id="27" name="Rounded Rectangle 26">
          <a:extLst>
            <a:ext uri="{FF2B5EF4-FFF2-40B4-BE49-F238E27FC236}">
              <a16:creationId xmlns:a16="http://schemas.microsoft.com/office/drawing/2014/main" id="{00000000-0008-0000-0000-00001B000000}"/>
            </a:ext>
          </a:extLst>
        </xdr:cNvPr>
        <xdr:cNvSpPr/>
      </xdr:nvSpPr>
      <xdr:spPr bwMode="auto">
        <a:xfrm>
          <a:off x="8763001" y="4048125"/>
          <a:ext cx="2581275" cy="476248"/>
        </a:xfrm>
        <a:prstGeom prst="roundRect">
          <a:avLst/>
        </a:prstGeom>
        <a:solidFill>
          <a:schemeClr val="accent5">
            <a:lumMod val="40000"/>
            <a:lumOff val="60000"/>
          </a:schemeClr>
        </a:solidFill>
        <a:ln>
          <a:headEnd type="none" w="med" len="med"/>
          <a:tailEnd type="none" w="med" len="med"/>
        </a:ln>
      </xdr:spPr>
      <xdr:style>
        <a:lnRef idx="1">
          <a:schemeClr val="accent1"/>
        </a:lnRef>
        <a:fillRef idx="2">
          <a:schemeClr val="accent1"/>
        </a:fillRef>
        <a:effectRef idx="1">
          <a:schemeClr val="accent1"/>
        </a:effectRef>
        <a:fontRef idx="minor">
          <a:schemeClr val="dk1"/>
        </a:fontRef>
      </xdr:style>
      <xdr:txBody>
        <a:bodyPr vertOverflow="clip" wrap="square" lIns="18288" tIns="0" rIns="0" bIns="0" rtlCol="0" anchor="ctr" upright="1"/>
        <a:lstStyle/>
        <a:p>
          <a:pPr marL="0" indent="0" algn="ctr"/>
          <a:r>
            <a:rPr lang="en-US" sz="1800" b="1">
              <a:solidFill>
                <a:schemeClr val="dk1"/>
              </a:solidFill>
              <a:latin typeface="Tahoma" pitchFamily="34" charset="0"/>
              <a:ea typeface="Tahoma" pitchFamily="34" charset="0"/>
              <a:cs typeface="Tahoma" pitchFamily="34" charset="0"/>
            </a:rPr>
            <a:t>Generate DFM Report</a:t>
          </a:r>
        </a:p>
      </xdr:txBody>
    </xdr:sp>
    <xdr:clientData/>
  </xdr:twoCellAnchor>
  <xdr:twoCellAnchor>
    <xdr:from>
      <xdr:col>10</xdr:col>
      <xdr:colOff>214314</xdr:colOff>
      <xdr:row>23</xdr:row>
      <xdr:rowOff>66675</xdr:rowOff>
    </xdr:from>
    <xdr:to>
      <xdr:col>11</xdr:col>
      <xdr:colOff>1866900</xdr:colOff>
      <xdr:row>27</xdr:row>
      <xdr:rowOff>47623</xdr:rowOff>
    </xdr:to>
    <xdr:sp macro="[0]!GenerateReportFuncAndEMail" textlink="">
      <xdr:nvSpPr>
        <xdr:cNvPr id="26" name="Rounded Rectangle 25">
          <a:extLst>
            <a:ext uri="{FF2B5EF4-FFF2-40B4-BE49-F238E27FC236}">
              <a16:creationId xmlns:a16="http://schemas.microsoft.com/office/drawing/2014/main" id="{00000000-0008-0000-0000-00001A000000}"/>
            </a:ext>
          </a:extLst>
        </xdr:cNvPr>
        <xdr:cNvSpPr/>
      </xdr:nvSpPr>
      <xdr:spPr bwMode="auto">
        <a:xfrm>
          <a:off x="8662989" y="4733925"/>
          <a:ext cx="2833686" cy="742948"/>
        </a:xfrm>
        <a:prstGeom prst="roundRect">
          <a:avLst/>
        </a:prstGeom>
        <a:solidFill>
          <a:srgbClr val="00B05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headEnd type="none" w="med" len="med"/>
          <a:tailEnd type="none" w="med" len="med"/>
        </a:ln>
      </xdr:spPr>
      <xdr:style>
        <a:lnRef idx="1">
          <a:schemeClr val="accent1"/>
        </a:lnRef>
        <a:fillRef idx="2">
          <a:schemeClr val="accent1"/>
        </a:fillRef>
        <a:effectRef idx="1">
          <a:schemeClr val="accent1"/>
        </a:effectRef>
        <a:fontRef idx="minor">
          <a:schemeClr val="dk1"/>
        </a:fontRef>
      </xdr:style>
      <xdr:txBody>
        <a:bodyPr vertOverflow="clip" wrap="square" lIns="18288" tIns="0" rIns="0" bIns="0" rtlCol="0" anchor="ctr" upright="1"/>
        <a:lstStyle/>
        <a:p>
          <a:pPr marL="0" indent="0" algn="ctr"/>
          <a:r>
            <a:rPr lang="en-US" sz="1800" b="1">
              <a:solidFill>
                <a:schemeClr val="dk1"/>
              </a:solidFill>
              <a:latin typeface="Tahoma" pitchFamily="34" charset="0"/>
              <a:ea typeface="Tahoma" pitchFamily="34" charset="0"/>
              <a:cs typeface="Tahoma" pitchFamily="34" charset="0"/>
            </a:rPr>
            <a:t>Generate Report and EMAIL</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175260</xdr:colOff>
          <xdr:row>8</xdr:row>
          <xdr:rowOff>99060</xdr:rowOff>
        </xdr:from>
        <xdr:to>
          <xdr:col>5</xdr:col>
          <xdr:colOff>121920</xdr:colOff>
          <xdr:row>12</xdr:row>
          <xdr:rowOff>121920</xdr:rowOff>
        </xdr:to>
        <xdr:sp macro="" textlink="">
          <xdr:nvSpPr>
            <xdr:cNvPr id="97281" name="Button 1" hidden="1">
              <a:extLst>
                <a:ext uri="{63B3BB69-23CF-44E3-9099-C40C66FF867C}">
                  <a14:compatExt spid="_x0000_s97281"/>
                </a:ext>
                <a:ext uri="{FF2B5EF4-FFF2-40B4-BE49-F238E27FC236}">
                  <a16:creationId xmlns:a16="http://schemas.microsoft.com/office/drawing/2014/main" id="{00000000-0008-0000-0100-0000017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Run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66675</xdr:colOff>
      <xdr:row>2</xdr:row>
      <xdr:rowOff>0</xdr:rowOff>
    </xdr:from>
    <xdr:to>
      <xdr:col>0</xdr:col>
      <xdr:colOff>704850</xdr:colOff>
      <xdr:row>5</xdr:row>
      <xdr:rowOff>60007</xdr:rowOff>
    </xdr:to>
    <xdr:sp macro="" textlink="">
      <xdr:nvSpPr>
        <xdr:cNvPr id="2" name="AutoShape 47" hidden="1">
          <a:extLst>
            <a:ext uri="{FF2B5EF4-FFF2-40B4-BE49-F238E27FC236}">
              <a16:creationId xmlns:a16="http://schemas.microsoft.com/office/drawing/2014/main" id="{00000000-0008-0000-0300-000002000000}"/>
            </a:ext>
          </a:extLst>
        </xdr:cNvPr>
        <xdr:cNvSpPr>
          <a:spLocks noChangeArrowheads="1"/>
        </xdr:cNvSpPr>
      </xdr:nvSpPr>
      <xdr:spPr bwMode="auto">
        <a:xfrm>
          <a:off x="66675" y="1209675"/>
          <a:ext cx="628650" cy="557212"/>
        </a:xfrm>
        <a:prstGeom prst="wedgeRoundRectCallout">
          <a:avLst>
            <a:gd name="adj1" fmla="val 45454"/>
            <a:gd name="adj2" fmla="val -165255"/>
            <a:gd name="adj3" fmla="val 16667"/>
          </a:avLst>
        </a:prstGeom>
        <a:solidFill>
          <a:srgbClr val="FFFF99">
            <a:alpha val="50000"/>
          </a:srgbClr>
        </a:solidFill>
        <a:ln w="9525">
          <a:solidFill>
            <a:srgbClr val="000000"/>
          </a:solidFill>
          <a:miter lim="800000"/>
          <a:headEnd/>
          <a:tailEnd/>
        </a:ln>
        <a:effectLst>
          <a:outerShdw dist="107763" dir="2700000" algn="ctr" rotWithShape="0">
            <a:srgbClr val="C0C0C0">
              <a:alpha val="50000"/>
            </a:srgbClr>
          </a:outerShdw>
        </a:effectLst>
      </xdr:spPr>
      <xdr:txBody>
        <a:bodyPr/>
        <a:lstStyle/>
        <a:p>
          <a:endParaRPr lang="de-DE"/>
        </a:p>
      </xdr:txBody>
    </xdr:sp>
    <xdr:clientData/>
  </xdr:twoCellAnchor>
  <xdr:twoCellAnchor editAs="oneCell">
    <xdr:from>
      <xdr:col>0</xdr:col>
      <xdr:colOff>66675</xdr:colOff>
      <xdr:row>2</xdr:row>
      <xdr:rowOff>0</xdr:rowOff>
    </xdr:from>
    <xdr:to>
      <xdr:col>0</xdr:col>
      <xdr:colOff>704850</xdr:colOff>
      <xdr:row>5</xdr:row>
      <xdr:rowOff>60007</xdr:rowOff>
    </xdr:to>
    <xdr:sp macro="" textlink="">
      <xdr:nvSpPr>
        <xdr:cNvPr id="3" name="AutoShape 46" hidden="1">
          <a:extLst>
            <a:ext uri="{FF2B5EF4-FFF2-40B4-BE49-F238E27FC236}">
              <a16:creationId xmlns:a16="http://schemas.microsoft.com/office/drawing/2014/main" id="{00000000-0008-0000-0300-000003000000}"/>
            </a:ext>
          </a:extLst>
        </xdr:cNvPr>
        <xdr:cNvSpPr>
          <a:spLocks noChangeArrowheads="1"/>
        </xdr:cNvSpPr>
      </xdr:nvSpPr>
      <xdr:spPr bwMode="auto">
        <a:xfrm>
          <a:off x="66675" y="1209675"/>
          <a:ext cx="628650" cy="557212"/>
        </a:xfrm>
        <a:prstGeom prst="wedgeRoundRectCallout">
          <a:avLst>
            <a:gd name="adj1" fmla="val 15343"/>
            <a:gd name="adj2" fmla="val -346611"/>
            <a:gd name="adj3" fmla="val 16667"/>
          </a:avLst>
        </a:prstGeom>
        <a:solidFill>
          <a:srgbClr val="FFFF99">
            <a:alpha val="50000"/>
          </a:srgbClr>
        </a:solidFill>
        <a:ln w="9525">
          <a:solidFill>
            <a:srgbClr val="000000"/>
          </a:solidFill>
          <a:miter lim="800000"/>
          <a:headEnd/>
          <a:tailEnd/>
        </a:ln>
        <a:effectLst>
          <a:outerShdw dist="107763" dir="2700000" algn="ctr" rotWithShape="0">
            <a:srgbClr val="C0C0C0">
              <a:alpha val="50000"/>
            </a:srgbClr>
          </a:outerShdw>
        </a:effectLst>
      </xdr:spPr>
      <xdr:txBody>
        <a:bodyPr vertOverflow="clip" wrap="square" lIns="27432" tIns="22860" rIns="27432" bIns="22860" anchor="ctr" upright="1"/>
        <a:lstStyle/>
        <a:p>
          <a:pPr algn="ctr" rtl="0">
            <a:defRPr sz="1000"/>
          </a:pPr>
          <a:r>
            <a:rPr lang="de-DE" sz="1000" b="1" i="0" u="none" strike="noStrike" baseline="0">
              <a:solidFill>
                <a:srgbClr val="FF6600"/>
              </a:solidFill>
              <a:latin typeface="Arial"/>
              <a:cs typeface="Arial"/>
            </a:rPr>
            <a:t>Click here if you would like to start with an Issue</a:t>
          </a:r>
        </a:p>
      </xdr:txBody>
    </xdr:sp>
    <xdr:clientData/>
  </xdr:twoCellAnchor>
  <xdr:twoCellAnchor editAs="oneCell">
    <xdr:from>
      <xdr:col>0</xdr:col>
      <xdr:colOff>66675</xdr:colOff>
      <xdr:row>2</xdr:row>
      <xdr:rowOff>0</xdr:rowOff>
    </xdr:from>
    <xdr:to>
      <xdr:col>0</xdr:col>
      <xdr:colOff>704850</xdr:colOff>
      <xdr:row>5</xdr:row>
      <xdr:rowOff>60008</xdr:rowOff>
    </xdr:to>
    <xdr:sp macro="" textlink="">
      <xdr:nvSpPr>
        <xdr:cNvPr id="6" name="AutoShape 47" hidden="1">
          <a:extLst>
            <a:ext uri="{FF2B5EF4-FFF2-40B4-BE49-F238E27FC236}">
              <a16:creationId xmlns:a16="http://schemas.microsoft.com/office/drawing/2014/main" id="{00000000-0008-0000-0300-000006000000}"/>
            </a:ext>
          </a:extLst>
        </xdr:cNvPr>
        <xdr:cNvSpPr>
          <a:spLocks noChangeArrowheads="1"/>
        </xdr:cNvSpPr>
      </xdr:nvSpPr>
      <xdr:spPr bwMode="auto">
        <a:xfrm>
          <a:off x="66675" y="3419475"/>
          <a:ext cx="628650" cy="561975"/>
        </a:xfrm>
        <a:prstGeom prst="wedgeRoundRectCallout">
          <a:avLst>
            <a:gd name="adj1" fmla="val 45454"/>
            <a:gd name="adj2" fmla="val -165255"/>
            <a:gd name="adj3" fmla="val 16667"/>
          </a:avLst>
        </a:prstGeom>
        <a:solidFill>
          <a:srgbClr val="FFFF99">
            <a:alpha val="50000"/>
          </a:srgbClr>
        </a:solidFill>
        <a:ln w="9525">
          <a:solidFill>
            <a:srgbClr val="000000"/>
          </a:solidFill>
          <a:miter lim="800000"/>
          <a:headEnd/>
          <a:tailEnd/>
        </a:ln>
        <a:effectLst>
          <a:outerShdw dist="107763" dir="2700000" algn="ctr" rotWithShape="0">
            <a:srgbClr val="C0C0C0">
              <a:alpha val="50000"/>
            </a:srgbClr>
          </a:outerShdw>
        </a:effectLst>
      </xdr:spPr>
      <xdr:txBody>
        <a:bodyPr/>
        <a:lstStyle/>
        <a:p>
          <a:endParaRPr lang="de-DE"/>
        </a:p>
      </xdr:txBody>
    </xdr:sp>
    <xdr:clientData/>
  </xdr:twoCellAnchor>
  <xdr:twoCellAnchor editAs="oneCell">
    <xdr:from>
      <xdr:col>0</xdr:col>
      <xdr:colOff>66675</xdr:colOff>
      <xdr:row>2</xdr:row>
      <xdr:rowOff>0</xdr:rowOff>
    </xdr:from>
    <xdr:to>
      <xdr:col>0</xdr:col>
      <xdr:colOff>704850</xdr:colOff>
      <xdr:row>5</xdr:row>
      <xdr:rowOff>60008</xdr:rowOff>
    </xdr:to>
    <xdr:sp macro="" textlink="">
      <xdr:nvSpPr>
        <xdr:cNvPr id="7" name="AutoShape 46" hidden="1">
          <a:extLst>
            <a:ext uri="{FF2B5EF4-FFF2-40B4-BE49-F238E27FC236}">
              <a16:creationId xmlns:a16="http://schemas.microsoft.com/office/drawing/2014/main" id="{00000000-0008-0000-0300-000007000000}"/>
            </a:ext>
          </a:extLst>
        </xdr:cNvPr>
        <xdr:cNvSpPr>
          <a:spLocks noChangeArrowheads="1"/>
        </xdr:cNvSpPr>
      </xdr:nvSpPr>
      <xdr:spPr bwMode="auto">
        <a:xfrm>
          <a:off x="66675" y="3419475"/>
          <a:ext cx="628650" cy="561975"/>
        </a:xfrm>
        <a:prstGeom prst="wedgeRoundRectCallout">
          <a:avLst>
            <a:gd name="adj1" fmla="val 15343"/>
            <a:gd name="adj2" fmla="val -346611"/>
            <a:gd name="adj3" fmla="val 16667"/>
          </a:avLst>
        </a:prstGeom>
        <a:solidFill>
          <a:srgbClr val="FFFF99">
            <a:alpha val="50000"/>
          </a:srgbClr>
        </a:solidFill>
        <a:ln w="9525">
          <a:solidFill>
            <a:srgbClr val="000000"/>
          </a:solidFill>
          <a:miter lim="800000"/>
          <a:headEnd/>
          <a:tailEnd/>
        </a:ln>
        <a:effectLst>
          <a:outerShdw dist="107763" dir="2700000" algn="ctr" rotWithShape="0">
            <a:srgbClr val="C0C0C0">
              <a:alpha val="50000"/>
            </a:srgbClr>
          </a:outerShdw>
        </a:effectLst>
      </xdr:spPr>
      <xdr:txBody>
        <a:bodyPr vertOverflow="clip" wrap="square" lIns="27432" tIns="22860" rIns="27432" bIns="22860" anchor="ctr" upright="1"/>
        <a:lstStyle/>
        <a:p>
          <a:pPr algn="ctr" rtl="0">
            <a:defRPr sz="1000"/>
          </a:pPr>
          <a:r>
            <a:rPr lang="de-DE" sz="1000" b="1" i="0" u="none" strike="noStrike" baseline="0">
              <a:solidFill>
                <a:srgbClr val="FF6600"/>
              </a:solidFill>
              <a:latin typeface="Arial"/>
              <a:cs typeface="Arial"/>
            </a:rPr>
            <a:t>Click here if you would like to start with an Issue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981076</xdr:colOff>
      <xdr:row>0</xdr:row>
      <xdr:rowOff>66675</xdr:rowOff>
    </xdr:from>
    <xdr:to>
      <xdr:col>5</xdr:col>
      <xdr:colOff>161926</xdr:colOff>
      <xdr:row>0</xdr:row>
      <xdr:rowOff>314324</xdr:rowOff>
    </xdr:to>
    <xdr:sp macro="[0]!GenerateKanbanChart" textlink="">
      <xdr:nvSpPr>
        <xdr:cNvPr id="2" name="Rounded Rectangle 1">
          <a:extLst>
            <a:ext uri="{FF2B5EF4-FFF2-40B4-BE49-F238E27FC236}">
              <a16:creationId xmlns:a16="http://schemas.microsoft.com/office/drawing/2014/main" id="{00000000-0008-0000-0400-000002000000}"/>
            </a:ext>
          </a:extLst>
        </xdr:cNvPr>
        <xdr:cNvSpPr/>
      </xdr:nvSpPr>
      <xdr:spPr bwMode="auto">
        <a:xfrm>
          <a:off x="5657851" y="66675"/>
          <a:ext cx="1247775" cy="247649"/>
        </a:xfrm>
        <a:prstGeom prst="roundRect">
          <a:avLst/>
        </a:prstGeom>
        <a:solidFill>
          <a:schemeClr val="tx2">
            <a:lumMod val="60000"/>
            <a:lumOff val="40000"/>
          </a:schemeClr>
        </a:solidFill>
        <a:ln>
          <a:headEnd type="none" w="med" len="med"/>
          <a:tailEnd type="none" w="med" len="med"/>
        </a:ln>
      </xdr:spPr>
      <xdr:style>
        <a:lnRef idx="0">
          <a:schemeClr val="accent2"/>
        </a:lnRef>
        <a:fillRef idx="3">
          <a:schemeClr val="accent2"/>
        </a:fillRef>
        <a:effectRef idx="3">
          <a:schemeClr val="accent2"/>
        </a:effectRef>
        <a:fontRef idx="minor">
          <a:schemeClr val="lt1"/>
        </a:fontRef>
      </xdr:style>
      <xdr:txBody>
        <a:bodyPr vertOverflow="clip" wrap="square" lIns="18288" tIns="0" rIns="0" bIns="0" rtlCol="0" anchor="ctr" upright="1"/>
        <a:lstStyle/>
        <a:p>
          <a:pPr algn="ctr"/>
          <a:r>
            <a:rPr lang="en-US" sz="1200" b="1"/>
            <a:t>Update Kanban</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931334</xdr:colOff>
      <xdr:row>0</xdr:row>
      <xdr:rowOff>95249</xdr:rowOff>
    </xdr:from>
    <xdr:to>
      <xdr:col>4</xdr:col>
      <xdr:colOff>2179109</xdr:colOff>
      <xdr:row>0</xdr:row>
      <xdr:rowOff>342898</xdr:rowOff>
    </xdr:to>
    <xdr:sp macro="[0]!GenerateKanbanChart" textlink="">
      <xdr:nvSpPr>
        <xdr:cNvPr id="2" name="Rounded Rectangle 1">
          <a:extLst>
            <a:ext uri="{FF2B5EF4-FFF2-40B4-BE49-F238E27FC236}">
              <a16:creationId xmlns:a16="http://schemas.microsoft.com/office/drawing/2014/main" id="{00000000-0008-0000-0500-000002000000}"/>
            </a:ext>
          </a:extLst>
        </xdr:cNvPr>
        <xdr:cNvSpPr/>
      </xdr:nvSpPr>
      <xdr:spPr bwMode="auto">
        <a:xfrm>
          <a:off x="5627159" y="95249"/>
          <a:ext cx="1247775" cy="247649"/>
        </a:xfrm>
        <a:prstGeom prst="roundRect">
          <a:avLst/>
        </a:prstGeom>
        <a:solidFill>
          <a:schemeClr val="tx2">
            <a:lumMod val="60000"/>
            <a:lumOff val="40000"/>
          </a:schemeClr>
        </a:solidFill>
        <a:ln>
          <a:headEnd type="none" w="med" len="med"/>
          <a:tailEnd type="none" w="med" len="med"/>
        </a:ln>
      </xdr:spPr>
      <xdr:style>
        <a:lnRef idx="0">
          <a:schemeClr val="accent2"/>
        </a:lnRef>
        <a:fillRef idx="3">
          <a:schemeClr val="accent2"/>
        </a:fillRef>
        <a:effectRef idx="3">
          <a:schemeClr val="accent2"/>
        </a:effectRef>
        <a:fontRef idx="minor">
          <a:schemeClr val="lt1"/>
        </a:fontRef>
      </xdr:style>
      <xdr:txBody>
        <a:bodyPr vertOverflow="clip" wrap="square" lIns="18288" tIns="0" rIns="0" bIns="0" rtlCol="0" anchor="ctr" upright="1"/>
        <a:lstStyle/>
        <a:p>
          <a:pPr algn="ctr"/>
          <a:r>
            <a:rPr lang="en-US" sz="1200" b="1"/>
            <a:t>Update Kanban</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295276</xdr:colOff>
      <xdr:row>0</xdr:row>
      <xdr:rowOff>66675</xdr:rowOff>
    </xdr:from>
    <xdr:to>
      <xdr:col>5</xdr:col>
      <xdr:colOff>676276</xdr:colOff>
      <xdr:row>0</xdr:row>
      <xdr:rowOff>314324</xdr:rowOff>
    </xdr:to>
    <xdr:sp macro="[0]!GenerateKanbanChart" textlink="">
      <xdr:nvSpPr>
        <xdr:cNvPr id="2" name="Rounded Rectangle 1">
          <a:extLst>
            <a:ext uri="{FF2B5EF4-FFF2-40B4-BE49-F238E27FC236}">
              <a16:creationId xmlns:a16="http://schemas.microsoft.com/office/drawing/2014/main" id="{00000000-0008-0000-0600-000002000000}"/>
            </a:ext>
          </a:extLst>
        </xdr:cNvPr>
        <xdr:cNvSpPr/>
      </xdr:nvSpPr>
      <xdr:spPr bwMode="auto">
        <a:xfrm>
          <a:off x="5819776" y="66675"/>
          <a:ext cx="1247775" cy="247649"/>
        </a:xfrm>
        <a:prstGeom prst="roundRect">
          <a:avLst/>
        </a:prstGeom>
        <a:solidFill>
          <a:schemeClr val="tx2">
            <a:lumMod val="60000"/>
            <a:lumOff val="40000"/>
          </a:schemeClr>
        </a:solidFill>
        <a:ln>
          <a:headEnd type="none" w="med" len="med"/>
          <a:tailEnd type="none" w="med" len="med"/>
        </a:ln>
      </xdr:spPr>
      <xdr:style>
        <a:lnRef idx="0">
          <a:schemeClr val="accent2"/>
        </a:lnRef>
        <a:fillRef idx="3">
          <a:schemeClr val="accent2"/>
        </a:fillRef>
        <a:effectRef idx="3">
          <a:schemeClr val="accent2"/>
        </a:effectRef>
        <a:fontRef idx="minor">
          <a:schemeClr val="lt1"/>
        </a:fontRef>
      </xdr:style>
      <xdr:txBody>
        <a:bodyPr vertOverflow="clip" wrap="square" lIns="18288" tIns="0" rIns="0" bIns="0" rtlCol="0" anchor="ctr" upright="1"/>
        <a:lstStyle/>
        <a:p>
          <a:pPr algn="ctr"/>
          <a:r>
            <a:rPr lang="en-US" sz="1200" b="1"/>
            <a:t>Update Kanban</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123825</xdr:colOff>
      <xdr:row>0</xdr:row>
      <xdr:rowOff>57150</xdr:rowOff>
    </xdr:from>
    <xdr:to>
      <xdr:col>8</xdr:col>
      <xdr:colOff>209550</xdr:colOff>
      <xdr:row>2</xdr:row>
      <xdr:rowOff>76200</xdr:rowOff>
    </xdr:to>
    <xdr:sp macro="[0]!GetEstimateEffortMultiple" textlink="">
      <xdr:nvSpPr>
        <xdr:cNvPr id="2" name="Rounded Rectangle 1">
          <a:extLst>
            <a:ext uri="{FF2B5EF4-FFF2-40B4-BE49-F238E27FC236}">
              <a16:creationId xmlns:a16="http://schemas.microsoft.com/office/drawing/2014/main" id="{00000000-0008-0000-0700-000002000000}"/>
            </a:ext>
          </a:extLst>
        </xdr:cNvPr>
        <xdr:cNvSpPr/>
      </xdr:nvSpPr>
      <xdr:spPr bwMode="auto">
        <a:xfrm>
          <a:off x="8334375" y="57150"/>
          <a:ext cx="1304925" cy="342900"/>
        </a:xfrm>
        <a:prstGeom prst="roundRect">
          <a:avLst/>
        </a:prstGeom>
        <a:solidFill>
          <a:schemeClr val="accent3">
            <a:lumMod val="75000"/>
          </a:schemeClr>
        </a:solidFill>
        <a:ln>
          <a:headEnd type="none" w="med" len="med"/>
          <a:tailEnd type="none" w="med" len="med"/>
        </a:ln>
      </xdr:spPr>
      <xdr:style>
        <a:lnRef idx="0">
          <a:schemeClr val="accent2"/>
        </a:lnRef>
        <a:fillRef idx="3">
          <a:schemeClr val="accent2"/>
        </a:fillRef>
        <a:effectRef idx="3">
          <a:schemeClr val="accent2"/>
        </a:effectRef>
        <a:fontRef idx="minor">
          <a:schemeClr val="lt1"/>
        </a:fontRef>
      </xdr:style>
      <xdr:txBody>
        <a:bodyPr vertOverflow="clip" wrap="square" lIns="18288" tIns="0" rIns="0" bIns="0" rtlCol="0" anchor="ctr" upright="1"/>
        <a:lstStyle/>
        <a:p>
          <a:pPr marL="0" indent="0" algn="ctr"/>
          <a:r>
            <a:rPr lang="en-US" sz="1600" b="1">
              <a:solidFill>
                <a:schemeClr val="lt1"/>
              </a:solidFill>
              <a:latin typeface="+mn-lt"/>
              <a:ea typeface="+mn-ea"/>
              <a:cs typeface="+mn-cs"/>
            </a:rPr>
            <a:t>Get Effort</a:t>
          </a: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66675</xdr:colOff>
      <xdr:row>29</xdr:row>
      <xdr:rowOff>0</xdr:rowOff>
    </xdr:from>
    <xdr:to>
      <xdr:col>2</xdr:col>
      <xdr:colOff>609600</xdr:colOff>
      <xdr:row>32</xdr:row>
      <xdr:rowOff>71437</xdr:rowOff>
    </xdr:to>
    <xdr:sp macro="" textlink="">
      <xdr:nvSpPr>
        <xdr:cNvPr id="2" name="AutoShape 47" hidden="1">
          <a:extLst>
            <a:ext uri="{FF2B5EF4-FFF2-40B4-BE49-F238E27FC236}">
              <a16:creationId xmlns:a16="http://schemas.microsoft.com/office/drawing/2014/main" id="{00000000-0008-0000-0C00-000002000000}"/>
            </a:ext>
          </a:extLst>
        </xdr:cNvPr>
        <xdr:cNvSpPr>
          <a:spLocks noChangeArrowheads="1"/>
        </xdr:cNvSpPr>
      </xdr:nvSpPr>
      <xdr:spPr bwMode="auto">
        <a:xfrm>
          <a:off x="66675" y="1209675"/>
          <a:ext cx="628650" cy="557212"/>
        </a:xfrm>
        <a:prstGeom prst="wedgeRoundRectCallout">
          <a:avLst>
            <a:gd name="adj1" fmla="val 45454"/>
            <a:gd name="adj2" fmla="val -165255"/>
            <a:gd name="adj3" fmla="val 16667"/>
          </a:avLst>
        </a:prstGeom>
        <a:solidFill>
          <a:srgbClr val="FFFF99">
            <a:alpha val="50000"/>
          </a:srgbClr>
        </a:solidFill>
        <a:ln w="9525">
          <a:solidFill>
            <a:srgbClr val="000000"/>
          </a:solidFill>
          <a:miter lim="800000"/>
          <a:headEnd/>
          <a:tailEnd/>
        </a:ln>
        <a:effectLst>
          <a:outerShdw dist="107763" dir="2700000" algn="ctr" rotWithShape="0">
            <a:srgbClr val="C0C0C0">
              <a:alpha val="50000"/>
            </a:srgbClr>
          </a:outerShdw>
        </a:effectLst>
      </xdr:spPr>
      <xdr:txBody>
        <a:bodyPr/>
        <a:lstStyle/>
        <a:p>
          <a:endParaRPr lang="de-DE"/>
        </a:p>
      </xdr:txBody>
    </xdr:sp>
    <xdr:clientData/>
  </xdr:twoCellAnchor>
  <xdr:twoCellAnchor editAs="oneCell">
    <xdr:from>
      <xdr:col>2</xdr:col>
      <xdr:colOff>66675</xdr:colOff>
      <xdr:row>29</xdr:row>
      <xdr:rowOff>0</xdr:rowOff>
    </xdr:from>
    <xdr:to>
      <xdr:col>2</xdr:col>
      <xdr:colOff>609600</xdr:colOff>
      <xdr:row>32</xdr:row>
      <xdr:rowOff>71437</xdr:rowOff>
    </xdr:to>
    <xdr:sp macro="" textlink="">
      <xdr:nvSpPr>
        <xdr:cNvPr id="3" name="AutoShape 46" hidden="1">
          <a:extLst>
            <a:ext uri="{FF2B5EF4-FFF2-40B4-BE49-F238E27FC236}">
              <a16:creationId xmlns:a16="http://schemas.microsoft.com/office/drawing/2014/main" id="{00000000-0008-0000-0C00-000003000000}"/>
            </a:ext>
          </a:extLst>
        </xdr:cNvPr>
        <xdr:cNvSpPr>
          <a:spLocks noChangeArrowheads="1"/>
        </xdr:cNvSpPr>
      </xdr:nvSpPr>
      <xdr:spPr bwMode="auto">
        <a:xfrm>
          <a:off x="66675" y="1209675"/>
          <a:ext cx="628650" cy="557212"/>
        </a:xfrm>
        <a:prstGeom prst="wedgeRoundRectCallout">
          <a:avLst>
            <a:gd name="adj1" fmla="val 15343"/>
            <a:gd name="adj2" fmla="val -346611"/>
            <a:gd name="adj3" fmla="val 16667"/>
          </a:avLst>
        </a:prstGeom>
        <a:solidFill>
          <a:srgbClr val="FFFF99">
            <a:alpha val="50000"/>
          </a:srgbClr>
        </a:solidFill>
        <a:ln w="9525">
          <a:solidFill>
            <a:srgbClr val="000000"/>
          </a:solidFill>
          <a:miter lim="800000"/>
          <a:headEnd/>
          <a:tailEnd/>
        </a:ln>
        <a:effectLst>
          <a:outerShdw dist="107763" dir="2700000" algn="ctr" rotWithShape="0">
            <a:srgbClr val="C0C0C0">
              <a:alpha val="50000"/>
            </a:srgbClr>
          </a:outerShdw>
        </a:effectLst>
      </xdr:spPr>
      <xdr:txBody>
        <a:bodyPr vertOverflow="clip" wrap="square" lIns="27432" tIns="22860" rIns="27432" bIns="22860" anchor="ctr" upright="1"/>
        <a:lstStyle/>
        <a:p>
          <a:pPr algn="ctr" rtl="0">
            <a:defRPr sz="1000"/>
          </a:pPr>
          <a:r>
            <a:rPr lang="de-DE" sz="1000" b="1" i="0" u="none" strike="noStrike" baseline="0">
              <a:solidFill>
                <a:srgbClr val="FF6600"/>
              </a:solidFill>
              <a:latin typeface="Arial"/>
              <a:cs typeface="Arial"/>
            </a:rPr>
            <a:t>Click here if you would like to start with an Issue</a:t>
          </a:r>
        </a:p>
      </xdr:txBody>
    </xdr:sp>
    <xdr:clientData/>
  </xdr:twoCellAnchor>
  <xdr:twoCellAnchor editAs="oneCell">
    <xdr:from>
      <xdr:col>2</xdr:col>
      <xdr:colOff>66675</xdr:colOff>
      <xdr:row>29</xdr:row>
      <xdr:rowOff>0</xdr:rowOff>
    </xdr:from>
    <xdr:to>
      <xdr:col>2</xdr:col>
      <xdr:colOff>609600</xdr:colOff>
      <xdr:row>32</xdr:row>
      <xdr:rowOff>71438</xdr:rowOff>
    </xdr:to>
    <xdr:sp macro="" textlink="">
      <xdr:nvSpPr>
        <xdr:cNvPr id="4" name="AutoShape 47" hidden="1">
          <a:extLst>
            <a:ext uri="{FF2B5EF4-FFF2-40B4-BE49-F238E27FC236}">
              <a16:creationId xmlns:a16="http://schemas.microsoft.com/office/drawing/2014/main" id="{00000000-0008-0000-0C00-000004000000}"/>
            </a:ext>
          </a:extLst>
        </xdr:cNvPr>
        <xdr:cNvSpPr>
          <a:spLocks noChangeArrowheads="1"/>
        </xdr:cNvSpPr>
      </xdr:nvSpPr>
      <xdr:spPr bwMode="auto">
        <a:xfrm>
          <a:off x="66675" y="1209675"/>
          <a:ext cx="628650" cy="557213"/>
        </a:xfrm>
        <a:prstGeom prst="wedgeRoundRectCallout">
          <a:avLst>
            <a:gd name="adj1" fmla="val 45454"/>
            <a:gd name="adj2" fmla="val -165255"/>
            <a:gd name="adj3" fmla="val 16667"/>
          </a:avLst>
        </a:prstGeom>
        <a:solidFill>
          <a:srgbClr val="FFFF99">
            <a:alpha val="50000"/>
          </a:srgbClr>
        </a:solidFill>
        <a:ln w="9525">
          <a:solidFill>
            <a:srgbClr val="000000"/>
          </a:solidFill>
          <a:miter lim="800000"/>
          <a:headEnd/>
          <a:tailEnd/>
        </a:ln>
        <a:effectLst>
          <a:outerShdw dist="107763" dir="2700000" algn="ctr" rotWithShape="0">
            <a:srgbClr val="C0C0C0">
              <a:alpha val="50000"/>
            </a:srgbClr>
          </a:outerShdw>
        </a:effectLst>
      </xdr:spPr>
      <xdr:txBody>
        <a:bodyPr/>
        <a:lstStyle/>
        <a:p>
          <a:endParaRPr lang="de-DE"/>
        </a:p>
      </xdr:txBody>
    </xdr:sp>
    <xdr:clientData/>
  </xdr:twoCellAnchor>
  <xdr:twoCellAnchor editAs="oneCell">
    <xdr:from>
      <xdr:col>2</xdr:col>
      <xdr:colOff>66675</xdr:colOff>
      <xdr:row>29</xdr:row>
      <xdr:rowOff>0</xdr:rowOff>
    </xdr:from>
    <xdr:to>
      <xdr:col>2</xdr:col>
      <xdr:colOff>609600</xdr:colOff>
      <xdr:row>32</xdr:row>
      <xdr:rowOff>71438</xdr:rowOff>
    </xdr:to>
    <xdr:sp macro="" textlink="">
      <xdr:nvSpPr>
        <xdr:cNvPr id="5" name="AutoShape 46" hidden="1">
          <a:extLst>
            <a:ext uri="{FF2B5EF4-FFF2-40B4-BE49-F238E27FC236}">
              <a16:creationId xmlns:a16="http://schemas.microsoft.com/office/drawing/2014/main" id="{00000000-0008-0000-0C00-000005000000}"/>
            </a:ext>
          </a:extLst>
        </xdr:cNvPr>
        <xdr:cNvSpPr>
          <a:spLocks noChangeArrowheads="1"/>
        </xdr:cNvSpPr>
      </xdr:nvSpPr>
      <xdr:spPr bwMode="auto">
        <a:xfrm>
          <a:off x="66675" y="1209675"/>
          <a:ext cx="628650" cy="557213"/>
        </a:xfrm>
        <a:prstGeom prst="wedgeRoundRectCallout">
          <a:avLst>
            <a:gd name="adj1" fmla="val 15343"/>
            <a:gd name="adj2" fmla="val -346611"/>
            <a:gd name="adj3" fmla="val 16667"/>
          </a:avLst>
        </a:prstGeom>
        <a:solidFill>
          <a:srgbClr val="FFFF99">
            <a:alpha val="50000"/>
          </a:srgbClr>
        </a:solidFill>
        <a:ln w="9525">
          <a:solidFill>
            <a:srgbClr val="000000"/>
          </a:solidFill>
          <a:miter lim="800000"/>
          <a:headEnd/>
          <a:tailEnd/>
        </a:ln>
        <a:effectLst>
          <a:outerShdw dist="107763" dir="2700000" algn="ctr" rotWithShape="0">
            <a:srgbClr val="C0C0C0">
              <a:alpha val="50000"/>
            </a:srgbClr>
          </a:outerShdw>
        </a:effectLst>
      </xdr:spPr>
      <xdr:txBody>
        <a:bodyPr vertOverflow="clip" wrap="square" lIns="27432" tIns="22860" rIns="27432" bIns="22860" anchor="ctr" upright="1"/>
        <a:lstStyle/>
        <a:p>
          <a:pPr algn="ctr" rtl="0">
            <a:defRPr sz="1000"/>
          </a:pPr>
          <a:r>
            <a:rPr lang="de-DE" sz="1000" b="1" i="0" u="none" strike="noStrike" baseline="0">
              <a:solidFill>
                <a:srgbClr val="FF6600"/>
              </a:solidFill>
              <a:latin typeface="Arial"/>
              <a:cs typeface="Arial"/>
            </a:rPr>
            <a:t>Click here if you would like to start with an Issue</a:t>
          </a:r>
        </a:p>
      </xdr:txBody>
    </xdr:sp>
    <xdr:clientData/>
  </xdr:twoCellAnchor>
  <xdr:twoCellAnchor editAs="oneCell">
    <xdr:from>
      <xdr:col>2</xdr:col>
      <xdr:colOff>66675</xdr:colOff>
      <xdr:row>50</xdr:row>
      <xdr:rowOff>0</xdr:rowOff>
    </xdr:from>
    <xdr:to>
      <xdr:col>2</xdr:col>
      <xdr:colOff>695325</xdr:colOff>
      <xdr:row>53</xdr:row>
      <xdr:rowOff>71437</xdr:rowOff>
    </xdr:to>
    <xdr:sp macro="" textlink="">
      <xdr:nvSpPr>
        <xdr:cNvPr id="6" name="AutoShape 47" hidden="1">
          <a:extLst>
            <a:ext uri="{FF2B5EF4-FFF2-40B4-BE49-F238E27FC236}">
              <a16:creationId xmlns:a16="http://schemas.microsoft.com/office/drawing/2014/main" id="{00000000-0008-0000-0C00-000006000000}"/>
            </a:ext>
          </a:extLst>
        </xdr:cNvPr>
        <xdr:cNvSpPr>
          <a:spLocks noChangeArrowheads="1"/>
        </xdr:cNvSpPr>
      </xdr:nvSpPr>
      <xdr:spPr bwMode="auto">
        <a:xfrm>
          <a:off x="66675" y="1209675"/>
          <a:ext cx="628650" cy="557212"/>
        </a:xfrm>
        <a:prstGeom prst="wedgeRoundRectCallout">
          <a:avLst>
            <a:gd name="adj1" fmla="val 45454"/>
            <a:gd name="adj2" fmla="val -165255"/>
            <a:gd name="adj3" fmla="val 16667"/>
          </a:avLst>
        </a:prstGeom>
        <a:solidFill>
          <a:srgbClr val="FFFF99">
            <a:alpha val="50000"/>
          </a:srgbClr>
        </a:solidFill>
        <a:ln w="9525">
          <a:solidFill>
            <a:srgbClr val="000000"/>
          </a:solidFill>
          <a:miter lim="800000"/>
          <a:headEnd/>
          <a:tailEnd/>
        </a:ln>
        <a:effectLst>
          <a:outerShdw dist="107763" dir="2700000" algn="ctr" rotWithShape="0">
            <a:srgbClr val="C0C0C0">
              <a:alpha val="50000"/>
            </a:srgbClr>
          </a:outerShdw>
        </a:effectLst>
      </xdr:spPr>
      <xdr:txBody>
        <a:bodyPr/>
        <a:lstStyle/>
        <a:p>
          <a:endParaRPr lang="de-DE"/>
        </a:p>
      </xdr:txBody>
    </xdr:sp>
    <xdr:clientData/>
  </xdr:twoCellAnchor>
  <xdr:twoCellAnchor editAs="oneCell">
    <xdr:from>
      <xdr:col>2</xdr:col>
      <xdr:colOff>66675</xdr:colOff>
      <xdr:row>50</xdr:row>
      <xdr:rowOff>0</xdr:rowOff>
    </xdr:from>
    <xdr:to>
      <xdr:col>2</xdr:col>
      <xdr:colOff>695325</xdr:colOff>
      <xdr:row>53</xdr:row>
      <xdr:rowOff>71437</xdr:rowOff>
    </xdr:to>
    <xdr:sp macro="" textlink="">
      <xdr:nvSpPr>
        <xdr:cNvPr id="7" name="AutoShape 46" hidden="1">
          <a:extLst>
            <a:ext uri="{FF2B5EF4-FFF2-40B4-BE49-F238E27FC236}">
              <a16:creationId xmlns:a16="http://schemas.microsoft.com/office/drawing/2014/main" id="{00000000-0008-0000-0C00-000007000000}"/>
            </a:ext>
          </a:extLst>
        </xdr:cNvPr>
        <xdr:cNvSpPr>
          <a:spLocks noChangeArrowheads="1"/>
        </xdr:cNvSpPr>
      </xdr:nvSpPr>
      <xdr:spPr bwMode="auto">
        <a:xfrm>
          <a:off x="66675" y="1209675"/>
          <a:ext cx="628650" cy="557212"/>
        </a:xfrm>
        <a:prstGeom prst="wedgeRoundRectCallout">
          <a:avLst>
            <a:gd name="adj1" fmla="val 15343"/>
            <a:gd name="adj2" fmla="val -346611"/>
            <a:gd name="adj3" fmla="val 16667"/>
          </a:avLst>
        </a:prstGeom>
        <a:solidFill>
          <a:srgbClr val="FFFF99">
            <a:alpha val="50000"/>
          </a:srgbClr>
        </a:solidFill>
        <a:ln w="9525">
          <a:solidFill>
            <a:srgbClr val="000000"/>
          </a:solidFill>
          <a:miter lim="800000"/>
          <a:headEnd/>
          <a:tailEnd/>
        </a:ln>
        <a:effectLst>
          <a:outerShdw dist="107763" dir="2700000" algn="ctr" rotWithShape="0">
            <a:srgbClr val="C0C0C0">
              <a:alpha val="50000"/>
            </a:srgbClr>
          </a:outerShdw>
        </a:effectLst>
      </xdr:spPr>
      <xdr:txBody>
        <a:bodyPr vertOverflow="clip" wrap="square" lIns="27432" tIns="22860" rIns="27432" bIns="22860" anchor="ctr" upright="1"/>
        <a:lstStyle/>
        <a:p>
          <a:pPr algn="ctr" rtl="0">
            <a:defRPr sz="1000"/>
          </a:pPr>
          <a:r>
            <a:rPr lang="de-DE" sz="1000" b="1" i="0" u="none" strike="noStrike" baseline="0">
              <a:solidFill>
                <a:srgbClr val="FF6600"/>
              </a:solidFill>
              <a:latin typeface="Arial"/>
              <a:cs typeface="Arial"/>
            </a:rPr>
            <a:t>Click here if you would like to start with an Issue</a:t>
          </a:r>
        </a:p>
      </xdr:txBody>
    </xdr:sp>
    <xdr:clientData/>
  </xdr:twoCellAnchor>
  <xdr:twoCellAnchor editAs="oneCell">
    <xdr:from>
      <xdr:col>2</xdr:col>
      <xdr:colOff>66675</xdr:colOff>
      <xdr:row>50</xdr:row>
      <xdr:rowOff>0</xdr:rowOff>
    </xdr:from>
    <xdr:to>
      <xdr:col>2</xdr:col>
      <xdr:colOff>695325</xdr:colOff>
      <xdr:row>53</xdr:row>
      <xdr:rowOff>71438</xdr:rowOff>
    </xdr:to>
    <xdr:sp macro="" textlink="">
      <xdr:nvSpPr>
        <xdr:cNvPr id="8" name="AutoShape 47" hidden="1">
          <a:extLst>
            <a:ext uri="{FF2B5EF4-FFF2-40B4-BE49-F238E27FC236}">
              <a16:creationId xmlns:a16="http://schemas.microsoft.com/office/drawing/2014/main" id="{00000000-0008-0000-0C00-000008000000}"/>
            </a:ext>
          </a:extLst>
        </xdr:cNvPr>
        <xdr:cNvSpPr>
          <a:spLocks noChangeArrowheads="1"/>
        </xdr:cNvSpPr>
      </xdr:nvSpPr>
      <xdr:spPr bwMode="auto">
        <a:xfrm>
          <a:off x="66675" y="1209675"/>
          <a:ext cx="628650" cy="557213"/>
        </a:xfrm>
        <a:prstGeom prst="wedgeRoundRectCallout">
          <a:avLst>
            <a:gd name="adj1" fmla="val 45454"/>
            <a:gd name="adj2" fmla="val -165255"/>
            <a:gd name="adj3" fmla="val 16667"/>
          </a:avLst>
        </a:prstGeom>
        <a:solidFill>
          <a:srgbClr val="FFFF99">
            <a:alpha val="50000"/>
          </a:srgbClr>
        </a:solidFill>
        <a:ln w="9525">
          <a:solidFill>
            <a:srgbClr val="000000"/>
          </a:solidFill>
          <a:miter lim="800000"/>
          <a:headEnd/>
          <a:tailEnd/>
        </a:ln>
        <a:effectLst>
          <a:outerShdw dist="107763" dir="2700000" algn="ctr" rotWithShape="0">
            <a:srgbClr val="C0C0C0">
              <a:alpha val="50000"/>
            </a:srgbClr>
          </a:outerShdw>
        </a:effectLst>
      </xdr:spPr>
      <xdr:txBody>
        <a:bodyPr/>
        <a:lstStyle/>
        <a:p>
          <a:endParaRPr lang="de-DE"/>
        </a:p>
      </xdr:txBody>
    </xdr:sp>
    <xdr:clientData/>
  </xdr:twoCellAnchor>
  <xdr:twoCellAnchor editAs="oneCell">
    <xdr:from>
      <xdr:col>2</xdr:col>
      <xdr:colOff>66675</xdr:colOff>
      <xdr:row>50</xdr:row>
      <xdr:rowOff>0</xdr:rowOff>
    </xdr:from>
    <xdr:to>
      <xdr:col>2</xdr:col>
      <xdr:colOff>695325</xdr:colOff>
      <xdr:row>53</xdr:row>
      <xdr:rowOff>71438</xdr:rowOff>
    </xdr:to>
    <xdr:sp macro="" textlink="">
      <xdr:nvSpPr>
        <xdr:cNvPr id="9" name="AutoShape 46" hidden="1">
          <a:extLst>
            <a:ext uri="{FF2B5EF4-FFF2-40B4-BE49-F238E27FC236}">
              <a16:creationId xmlns:a16="http://schemas.microsoft.com/office/drawing/2014/main" id="{00000000-0008-0000-0C00-000009000000}"/>
            </a:ext>
          </a:extLst>
        </xdr:cNvPr>
        <xdr:cNvSpPr>
          <a:spLocks noChangeArrowheads="1"/>
        </xdr:cNvSpPr>
      </xdr:nvSpPr>
      <xdr:spPr bwMode="auto">
        <a:xfrm>
          <a:off x="66675" y="1209675"/>
          <a:ext cx="628650" cy="557213"/>
        </a:xfrm>
        <a:prstGeom prst="wedgeRoundRectCallout">
          <a:avLst>
            <a:gd name="adj1" fmla="val 15343"/>
            <a:gd name="adj2" fmla="val -346611"/>
            <a:gd name="adj3" fmla="val 16667"/>
          </a:avLst>
        </a:prstGeom>
        <a:solidFill>
          <a:srgbClr val="FFFF99">
            <a:alpha val="50000"/>
          </a:srgbClr>
        </a:solidFill>
        <a:ln w="9525">
          <a:solidFill>
            <a:srgbClr val="000000"/>
          </a:solidFill>
          <a:miter lim="800000"/>
          <a:headEnd/>
          <a:tailEnd/>
        </a:ln>
        <a:effectLst>
          <a:outerShdw dist="107763" dir="2700000" algn="ctr" rotWithShape="0">
            <a:srgbClr val="C0C0C0">
              <a:alpha val="50000"/>
            </a:srgbClr>
          </a:outerShdw>
        </a:effectLst>
      </xdr:spPr>
      <xdr:txBody>
        <a:bodyPr vertOverflow="clip" wrap="square" lIns="27432" tIns="22860" rIns="27432" bIns="22860" anchor="ctr" upright="1"/>
        <a:lstStyle/>
        <a:p>
          <a:pPr algn="ctr" rtl="0">
            <a:defRPr sz="1000"/>
          </a:pPr>
          <a:r>
            <a:rPr lang="de-DE" sz="1000" b="1" i="0" u="none" strike="noStrike" baseline="0">
              <a:solidFill>
                <a:srgbClr val="FF6600"/>
              </a:solidFill>
              <a:latin typeface="Arial"/>
              <a:cs typeface="Arial"/>
            </a:rPr>
            <a:t>Click here if you would like to start with an Issue</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4</xdr:row>
      <xdr:rowOff>0</xdr:rowOff>
    </xdr:from>
    <xdr:to>
      <xdr:col>12</xdr:col>
      <xdr:colOff>85725</xdr:colOff>
      <xdr:row>25</xdr:row>
      <xdr:rowOff>104775</xdr:rowOff>
    </xdr:to>
    <xdr:sp macro="" textlink="">
      <xdr:nvSpPr>
        <xdr:cNvPr id="2" name="TextBox 1">
          <a:extLst>
            <a:ext uri="{FF2B5EF4-FFF2-40B4-BE49-F238E27FC236}">
              <a16:creationId xmlns:a16="http://schemas.microsoft.com/office/drawing/2014/main" id="{00000000-0008-0000-0D00-000002000000}"/>
            </a:ext>
          </a:extLst>
        </xdr:cNvPr>
        <xdr:cNvSpPr txBox="1"/>
      </xdr:nvSpPr>
      <xdr:spPr>
        <a:xfrm>
          <a:off x="0" y="647700"/>
          <a:ext cx="7400925" cy="3505200"/>
        </a:xfrm>
        <a:prstGeom prst="rect">
          <a:avLst/>
        </a:prstGeom>
        <a:solidFill>
          <a:schemeClr val="accent1">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400"/>
            <a:t>RQ1 Tracker Tool is conceptualised and developed by RBEI/EEX3 for perioidic automatic tracking.</a:t>
          </a:r>
        </a:p>
        <a:p>
          <a:r>
            <a:rPr lang="en-US" sz="1400"/>
            <a:t>This tool</a:t>
          </a:r>
          <a:r>
            <a:rPr lang="en-US" sz="1400" baseline="0"/>
            <a:t> can be used </a:t>
          </a:r>
          <a:r>
            <a:rPr lang="en-US" sz="1400"/>
            <a:t> for checking violation</a:t>
          </a:r>
          <a:r>
            <a:rPr lang="en-US" sz="1400" baseline="0"/>
            <a:t> from RQ1 process flows. </a:t>
          </a:r>
        </a:p>
        <a:p>
          <a:r>
            <a:rPr lang="en-US" sz="1400" baseline="0"/>
            <a:t>The tool is originally developed by Sri V V swamy (RBEI/EEX3). </a:t>
          </a:r>
        </a:p>
        <a:p>
          <a:endParaRPr lang="en-US" sz="1400" baseline="0"/>
        </a:p>
        <a:p>
          <a:pPr marL="0" marR="0" indent="0" defTabSz="914400" eaLnBrk="1" fontAlgn="auto" latinLnBrk="0" hangingPunct="1">
            <a:lnSpc>
              <a:spcPct val="100000"/>
            </a:lnSpc>
            <a:spcBef>
              <a:spcPts val="0"/>
            </a:spcBef>
            <a:spcAft>
              <a:spcPts val="0"/>
            </a:spcAft>
            <a:buClrTx/>
            <a:buSzTx/>
            <a:buFontTx/>
            <a:buNone/>
            <a:tabLst/>
            <a:defRPr/>
          </a:pPr>
          <a:r>
            <a:rPr lang="en-US" sz="1400" b="1" baseline="0"/>
            <a:t>Contact person for further </a:t>
          </a:r>
          <a:r>
            <a:rPr kumimoji="0" lang="en-US" sz="1400" b="1" i="0" u="none" strike="noStrike" kern="0" cap="none" spc="0" normalizeH="0" baseline="0" noProof="0">
              <a:ln>
                <a:noFill/>
              </a:ln>
              <a:solidFill>
                <a:prstClr val="black"/>
              </a:solidFill>
              <a:effectLst/>
              <a:uLnTx/>
              <a:uFillTx/>
              <a:latin typeface="+mn-lt"/>
              <a:ea typeface="+mn-ea"/>
              <a:cs typeface="+mn-cs"/>
            </a:rPr>
            <a:t>inputs to the tool : </a:t>
          </a:r>
          <a:r>
            <a:rPr lang="en-US" sz="1400" b="1" baseline="0"/>
            <a:t> Muralee Krishnan S (RBEI/EEX1)</a:t>
          </a:r>
          <a:endParaRPr lang="en-US" sz="1400" b="1"/>
        </a:p>
      </xdr:txBody>
    </xdr:sp>
    <xdr:clientData/>
  </xdr:twoCellAnchor>
  <xdr:twoCellAnchor>
    <xdr:from>
      <xdr:col>0</xdr:col>
      <xdr:colOff>47625</xdr:colOff>
      <xdr:row>0</xdr:row>
      <xdr:rowOff>95250</xdr:rowOff>
    </xdr:from>
    <xdr:to>
      <xdr:col>12</xdr:col>
      <xdr:colOff>95250</xdr:colOff>
      <xdr:row>4</xdr:row>
      <xdr:rowOff>38100</xdr:rowOff>
    </xdr:to>
    <xdr:sp macro="" textlink="">
      <xdr:nvSpPr>
        <xdr:cNvPr id="3" name="TextBox 2">
          <a:extLst>
            <a:ext uri="{FF2B5EF4-FFF2-40B4-BE49-F238E27FC236}">
              <a16:creationId xmlns:a16="http://schemas.microsoft.com/office/drawing/2014/main" id="{00000000-0008-0000-0D00-000003000000}"/>
            </a:ext>
          </a:extLst>
        </xdr:cNvPr>
        <xdr:cNvSpPr txBox="1"/>
      </xdr:nvSpPr>
      <xdr:spPr>
        <a:xfrm>
          <a:off x="47625" y="95250"/>
          <a:ext cx="7362825" cy="590550"/>
        </a:xfrm>
        <a:prstGeom prst="rect">
          <a:avLst/>
        </a:prstGeom>
        <a:solidFill>
          <a:schemeClr val="tx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US" sz="3200">
              <a:solidFill>
                <a:schemeClr val="bg1"/>
              </a:solidFill>
            </a:rPr>
            <a:t>RQ 1 Checker</a:t>
          </a:r>
          <a:r>
            <a:rPr lang="en-US" sz="3200" baseline="0">
              <a:solidFill>
                <a:schemeClr val="bg1"/>
              </a:solidFill>
            </a:rPr>
            <a:t> Tool- Help</a:t>
          </a:r>
          <a:endParaRPr lang="en-US" sz="3200">
            <a:solidFill>
              <a:schemeClr val="bg1"/>
            </a:solidFill>
          </a:endParaRPr>
        </a:p>
      </xdr:txBody>
    </xdr:sp>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outerShdw dist="107763" dir="2700000" algn="ctr" rotWithShape="0">
            <a:srgbClr val="808080">
              <a:alpha val="50000"/>
            </a:srgbClr>
          </a:outerShdw>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outerShdw dist="107763" dir="2700000" algn="ctr" rotWithShape="0">
            <a:srgbClr val="808080">
              <a:alpha val="50000"/>
            </a:srgbClr>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tabColor rgb="FF00B050"/>
  </sheetPr>
  <dimension ref="A1:S44"/>
  <sheetViews>
    <sheetView tabSelected="1" zoomScale="130" zoomScaleNormal="130" workbookViewId="0"/>
  </sheetViews>
  <sheetFormatPr defaultColWidth="9.33203125" defaultRowHeight="13.2" x14ac:dyDescent="0.25"/>
  <cols>
    <col min="1" max="1" width="3.33203125" style="1" customWidth="1"/>
    <col min="2" max="2" width="28.6640625" style="1" customWidth="1"/>
    <col min="3" max="5" width="11.44140625" style="1" customWidth="1"/>
    <col min="6" max="6" width="15.33203125" style="1" customWidth="1"/>
    <col min="7" max="7" width="21.44140625" style="1" customWidth="1"/>
    <col min="8" max="8" width="11.44140625" style="1" customWidth="1"/>
    <col min="9" max="9" width="18.6640625" style="1" customWidth="1"/>
    <col min="10" max="10" width="3.6640625" style="1" customWidth="1"/>
    <col min="11" max="11" width="17.6640625" style="1" customWidth="1"/>
    <col min="12" max="12" width="29.5546875" style="1" customWidth="1"/>
    <col min="13" max="13" width="9.33203125" style="1" customWidth="1"/>
    <col min="14" max="16384" width="9.33203125" style="1"/>
  </cols>
  <sheetData>
    <row r="1" spans="1:13" ht="13.8" thickBot="1" x14ac:dyDescent="0.3"/>
    <row r="2" spans="1:13" ht="18.75" customHeight="1" thickTop="1" x14ac:dyDescent="0.25">
      <c r="A2" s="3"/>
      <c r="B2" s="181"/>
      <c r="C2" s="181"/>
      <c r="D2" s="181"/>
      <c r="E2" s="181"/>
      <c r="F2" s="181"/>
      <c r="G2" s="181"/>
      <c r="H2" s="181"/>
      <c r="K2" s="94" t="s">
        <v>0</v>
      </c>
      <c r="L2" s="95"/>
    </row>
    <row r="3" spans="1:13" ht="18.75" customHeight="1" thickBot="1" x14ac:dyDescent="0.3">
      <c r="A3" s="3"/>
      <c r="B3" s="181"/>
      <c r="C3" s="181"/>
      <c r="D3" s="181"/>
      <c r="E3" s="181"/>
      <c r="F3" s="181"/>
      <c r="G3" s="181"/>
      <c r="H3" s="181"/>
      <c r="K3" s="96" t="s">
        <v>1</v>
      </c>
      <c r="L3" s="97" t="s">
        <v>2</v>
      </c>
    </row>
    <row r="4" spans="1:13" ht="13.8" thickTop="1" x14ac:dyDescent="0.25">
      <c r="B4" s="181"/>
      <c r="C4" s="181"/>
      <c r="D4" s="181"/>
      <c r="E4" s="181"/>
      <c r="F4" s="181"/>
      <c r="G4" s="181"/>
      <c r="H4" s="181"/>
    </row>
    <row r="5" spans="1:13" ht="13.8" thickBot="1" x14ac:dyDescent="0.3">
      <c r="K5" s="85" t="s">
        <v>3</v>
      </c>
      <c r="L5" s="86">
        <v>45985.444756944446</v>
      </c>
    </row>
    <row r="6" spans="1:13" ht="16.5" customHeight="1" x14ac:dyDescent="0.25">
      <c r="B6" s="168" t="s">
        <v>4</v>
      </c>
      <c r="C6" s="186"/>
      <c r="D6" s="187"/>
      <c r="E6" s="187"/>
      <c r="F6" s="187"/>
      <c r="G6" s="187"/>
      <c r="H6" s="188"/>
      <c r="K6" s="84" t="s">
        <v>5</v>
      </c>
      <c r="L6" s="83">
        <v>45985.446134259262</v>
      </c>
    </row>
    <row r="7" spans="1:13" ht="13.5" customHeight="1" thickBot="1" x14ac:dyDescent="0.3">
      <c r="B7" s="169"/>
      <c r="C7" s="189"/>
      <c r="D7" s="190"/>
      <c r="E7" s="190"/>
      <c r="F7" s="190"/>
      <c r="G7" s="190"/>
      <c r="H7" s="191"/>
      <c r="K7" s="123" t="s">
        <v>6</v>
      </c>
      <c r="L7" s="124">
        <f>L6-L5</f>
        <v>1.377314816636499E-3</v>
      </c>
    </row>
    <row r="8" spans="1:13" ht="13.5" customHeight="1" thickBot="1" x14ac:dyDescent="0.3"/>
    <row r="9" spans="1:13" ht="16.5" customHeight="1" thickBot="1" x14ac:dyDescent="0.35">
      <c r="B9" s="29" t="s">
        <v>7</v>
      </c>
      <c r="C9" s="185" t="s">
        <v>377</v>
      </c>
      <c r="D9" s="183"/>
      <c r="E9" s="183"/>
      <c r="F9" s="183"/>
      <c r="G9" s="183"/>
      <c r="H9" s="184"/>
      <c r="I9" s="5"/>
    </row>
    <row r="10" spans="1:13" ht="16.5" customHeight="1" thickBot="1" x14ac:dyDescent="0.35">
      <c r="B10" s="29" t="s">
        <v>8</v>
      </c>
      <c r="C10" s="182" t="s">
        <v>428</v>
      </c>
      <c r="D10" s="183"/>
      <c r="E10" s="183"/>
      <c r="F10" s="183"/>
      <c r="G10" s="183"/>
      <c r="H10" s="184"/>
      <c r="J10" s="92"/>
      <c r="K10" s="92"/>
      <c r="L10" s="92"/>
      <c r="M10" s="92"/>
    </row>
    <row r="11" spans="1:13" ht="17.100000000000001" customHeight="1" thickBot="1" x14ac:dyDescent="0.35">
      <c r="B11" s="29" t="s">
        <v>9</v>
      </c>
      <c r="C11" s="182"/>
      <c r="D11" s="183"/>
      <c r="E11" s="183"/>
      <c r="F11" s="183"/>
      <c r="G11" s="183"/>
      <c r="H11" s="184"/>
      <c r="J11" s="92"/>
      <c r="K11" s="92"/>
      <c r="L11" s="92"/>
      <c r="M11" s="92"/>
    </row>
    <row r="12" spans="1:13" ht="19.5" customHeight="1" thickBot="1" x14ac:dyDescent="0.3">
      <c r="B12" s="29" t="s">
        <v>10</v>
      </c>
      <c r="C12" s="93" t="s">
        <v>11</v>
      </c>
      <c r="D12" s="179" t="s">
        <v>12</v>
      </c>
      <c r="E12" s="194"/>
      <c r="F12" s="180"/>
      <c r="G12" s="192">
        <v>44866</v>
      </c>
      <c r="H12" s="193"/>
      <c r="J12" s="22"/>
      <c r="K12" s="22"/>
      <c r="L12" s="22"/>
      <c r="M12" s="22"/>
    </row>
    <row r="13" spans="1:13" ht="16.5" customHeight="1" thickBot="1" x14ac:dyDescent="0.35">
      <c r="B13" s="29" t="s">
        <v>13</v>
      </c>
      <c r="C13" s="182"/>
      <c r="D13" s="183"/>
      <c r="E13" s="183"/>
      <c r="F13" s="183"/>
      <c r="G13" s="183"/>
      <c r="H13" s="184"/>
      <c r="I13" s="22"/>
      <c r="J13" s="22"/>
      <c r="K13" s="22"/>
      <c r="L13" s="22"/>
      <c r="M13" s="22"/>
    </row>
    <row r="14" spans="1:13" ht="17.25" customHeight="1" thickBot="1" x14ac:dyDescent="0.3">
      <c r="B14" s="29" t="s">
        <v>14</v>
      </c>
      <c r="C14" s="192">
        <v>44866</v>
      </c>
      <c r="D14" s="193"/>
      <c r="E14" s="179" t="s">
        <v>15</v>
      </c>
      <c r="F14" s="180"/>
      <c r="G14" s="192">
        <f ca="1">TODAY()</f>
        <v>45989</v>
      </c>
      <c r="H14" s="193"/>
      <c r="I14" s="22"/>
      <c r="J14" s="22"/>
      <c r="K14" s="22"/>
      <c r="L14" s="22"/>
      <c r="M14" s="22"/>
    </row>
    <row r="15" spans="1:13" ht="12.75" customHeight="1" x14ac:dyDescent="0.25">
      <c r="I15" s="22"/>
      <c r="J15" s="22"/>
      <c r="K15" s="22"/>
      <c r="L15" s="22"/>
      <c r="M15" s="77"/>
    </row>
    <row r="16" spans="1:13" ht="26.4" x14ac:dyDescent="0.25">
      <c r="B16" s="91" t="s">
        <v>16</v>
      </c>
      <c r="C16" s="176" t="s">
        <v>17</v>
      </c>
      <c r="D16" s="177"/>
      <c r="E16" s="177"/>
      <c r="F16" s="177"/>
      <c r="G16" s="178"/>
      <c r="H16" s="91" t="s">
        <v>18</v>
      </c>
      <c r="I16" s="91" t="s">
        <v>19</v>
      </c>
      <c r="L16" s="22"/>
      <c r="M16" s="77"/>
    </row>
    <row r="17" spans="2:13" x14ac:dyDescent="0.25">
      <c r="B17" s="90">
        <v>1</v>
      </c>
      <c r="C17" s="162" t="s">
        <v>20</v>
      </c>
      <c r="D17" s="163"/>
      <c r="E17" s="163"/>
      <c r="F17" s="163"/>
      <c r="G17" s="164"/>
      <c r="H17" s="20" t="s">
        <v>21</v>
      </c>
      <c r="I17" s="79" t="s">
        <v>22</v>
      </c>
      <c r="J17" s="5"/>
      <c r="M17" s="77"/>
    </row>
    <row r="18" spans="2:13" ht="15" customHeight="1" x14ac:dyDescent="0.25">
      <c r="B18" s="90">
        <v>2</v>
      </c>
      <c r="C18" s="162" t="s">
        <v>23</v>
      </c>
      <c r="D18" s="163"/>
      <c r="E18" s="163"/>
      <c r="F18" s="163"/>
      <c r="G18" s="164"/>
      <c r="H18" s="20" t="s">
        <v>21</v>
      </c>
      <c r="I18" s="79" t="s">
        <v>22</v>
      </c>
      <c r="L18" s="5"/>
      <c r="M18" s="77"/>
    </row>
    <row r="19" spans="2:13" ht="15" customHeight="1" x14ac:dyDescent="0.25">
      <c r="B19" s="90">
        <v>3</v>
      </c>
      <c r="C19" s="162" t="s">
        <v>24</v>
      </c>
      <c r="D19" s="163"/>
      <c r="E19" s="163"/>
      <c r="F19" s="163"/>
      <c r="G19" s="164"/>
      <c r="H19" s="20" t="s">
        <v>21</v>
      </c>
      <c r="I19" s="79" t="s">
        <v>22</v>
      </c>
      <c r="L19" s="5"/>
      <c r="M19" s="5"/>
    </row>
    <row r="20" spans="2:13" ht="15" customHeight="1" x14ac:dyDescent="0.25">
      <c r="B20" s="90">
        <v>4</v>
      </c>
      <c r="C20" s="162" t="s">
        <v>25</v>
      </c>
      <c r="D20" s="163"/>
      <c r="E20" s="163"/>
      <c r="F20" s="163"/>
      <c r="G20" s="164"/>
      <c r="H20" s="20" t="s">
        <v>21</v>
      </c>
      <c r="I20" s="79" t="s">
        <v>22</v>
      </c>
      <c r="L20" s="5"/>
      <c r="M20" s="5"/>
    </row>
    <row r="21" spans="2:13" ht="15" customHeight="1" x14ac:dyDescent="0.25">
      <c r="B21" s="87">
        <v>5</v>
      </c>
      <c r="C21" s="170" t="s">
        <v>26</v>
      </c>
      <c r="D21" s="171"/>
      <c r="E21" s="171"/>
      <c r="F21" s="171"/>
      <c r="G21" s="172"/>
      <c r="H21" s="20" t="s">
        <v>21</v>
      </c>
      <c r="I21" s="78" t="s">
        <v>27</v>
      </c>
      <c r="L21" s="5"/>
      <c r="M21" s="5"/>
    </row>
    <row r="22" spans="2:13" ht="15" customHeight="1" x14ac:dyDescent="0.25">
      <c r="B22" s="87">
        <v>6</v>
      </c>
      <c r="C22" s="170" t="s">
        <v>28</v>
      </c>
      <c r="D22" s="171"/>
      <c r="E22" s="171"/>
      <c r="F22" s="171"/>
      <c r="G22" s="172"/>
      <c r="H22" s="20" t="s">
        <v>21</v>
      </c>
      <c r="I22" s="79" t="s">
        <v>22</v>
      </c>
      <c r="L22" s="5"/>
      <c r="M22" s="5"/>
    </row>
    <row r="23" spans="2:13" ht="15" customHeight="1" x14ac:dyDescent="0.25">
      <c r="B23" s="87">
        <v>7</v>
      </c>
      <c r="C23" s="170" t="s">
        <v>29</v>
      </c>
      <c r="D23" s="171"/>
      <c r="E23" s="171"/>
      <c r="F23" s="171"/>
      <c r="G23" s="172"/>
      <c r="H23" s="20" t="s">
        <v>21</v>
      </c>
      <c r="I23" s="79" t="s">
        <v>22</v>
      </c>
      <c r="L23" s="5"/>
      <c r="M23" s="5"/>
    </row>
    <row r="24" spans="2:13" ht="15" customHeight="1" x14ac:dyDescent="0.25">
      <c r="B24" s="87">
        <v>8</v>
      </c>
      <c r="C24" s="170" t="s">
        <v>30</v>
      </c>
      <c r="D24" s="171"/>
      <c r="E24" s="171"/>
      <c r="F24" s="171"/>
      <c r="G24" s="172"/>
      <c r="H24" s="20" t="s">
        <v>21</v>
      </c>
      <c r="I24" s="78" t="s">
        <v>27</v>
      </c>
      <c r="L24" s="5"/>
      <c r="M24" s="5"/>
    </row>
    <row r="25" spans="2:13" ht="15" customHeight="1" x14ac:dyDescent="0.25">
      <c r="B25" s="87">
        <v>9</v>
      </c>
      <c r="C25" s="170" t="s">
        <v>31</v>
      </c>
      <c r="D25" s="171"/>
      <c r="E25" s="171"/>
      <c r="F25" s="171"/>
      <c r="G25" s="172"/>
      <c r="H25" s="20" t="s">
        <v>21</v>
      </c>
      <c r="I25" s="80" t="s">
        <v>32</v>
      </c>
      <c r="J25" s="30"/>
      <c r="L25" s="5"/>
      <c r="M25" s="5"/>
    </row>
    <row r="26" spans="2:13" ht="15" customHeight="1" x14ac:dyDescent="0.25">
      <c r="B26" s="87">
        <v>10</v>
      </c>
      <c r="C26" s="170" t="s">
        <v>33</v>
      </c>
      <c r="D26" s="171"/>
      <c r="E26" s="171"/>
      <c r="F26" s="171"/>
      <c r="G26" s="172"/>
      <c r="H26" s="20" t="s">
        <v>11</v>
      </c>
      <c r="I26" s="78" t="s">
        <v>27</v>
      </c>
      <c r="L26" s="5"/>
      <c r="M26" s="5"/>
    </row>
    <row r="27" spans="2:13" ht="15" customHeight="1" x14ac:dyDescent="0.25">
      <c r="B27" s="87">
        <v>11</v>
      </c>
      <c r="C27" s="170" t="s">
        <v>34</v>
      </c>
      <c r="D27" s="171"/>
      <c r="E27" s="171"/>
      <c r="F27" s="171"/>
      <c r="G27" s="172"/>
      <c r="H27" s="20" t="s">
        <v>21</v>
      </c>
      <c r="I27" s="81" t="s">
        <v>35</v>
      </c>
      <c r="L27" s="5"/>
      <c r="M27" s="5"/>
    </row>
    <row r="28" spans="2:13" ht="15" customHeight="1" x14ac:dyDescent="0.25">
      <c r="B28" s="88">
        <v>12</v>
      </c>
      <c r="C28" s="173" t="s">
        <v>36</v>
      </c>
      <c r="D28" s="174"/>
      <c r="E28" s="174"/>
      <c r="F28" s="174"/>
      <c r="G28" s="175"/>
      <c r="H28" s="20" t="s">
        <v>21</v>
      </c>
      <c r="I28" s="82" t="s">
        <v>37</v>
      </c>
      <c r="L28" s="5"/>
      <c r="M28" s="5"/>
    </row>
    <row r="29" spans="2:13" ht="15" customHeight="1" x14ac:dyDescent="0.25">
      <c r="B29" s="89">
        <v>13</v>
      </c>
      <c r="C29" s="165" t="s">
        <v>38</v>
      </c>
      <c r="D29" s="166"/>
      <c r="E29" s="166"/>
      <c r="F29" s="166"/>
      <c r="G29" s="167"/>
      <c r="H29" s="20" t="s">
        <v>21</v>
      </c>
      <c r="I29" s="98" t="s">
        <v>27</v>
      </c>
      <c r="L29" s="5"/>
      <c r="M29" s="5"/>
    </row>
    <row r="30" spans="2:13" ht="15" customHeight="1" x14ac:dyDescent="0.25">
      <c r="B30" s="89">
        <v>14</v>
      </c>
      <c r="C30" s="165" t="s">
        <v>39</v>
      </c>
      <c r="D30" s="166"/>
      <c r="E30" s="166"/>
      <c r="F30" s="166"/>
      <c r="G30" s="167"/>
      <c r="H30" s="20" t="s">
        <v>21</v>
      </c>
      <c r="I30" s="99" t="s">
        <v>22</v>
      </c>
      <c r="M30" s="5"/>
    </row>
    <row r="31" spans="2:13" ht="15" customHeight="1" x14ac:dyDescent="0.25">
      <c r="B31" s="88">
        <v>15</v>
      </c>
      <c r="C31" s="173" t="s">
        <v>40</v>
      </c>
      <c r="D31" s="174"/>
      <c r="E31" s="174"/>
      <c r="F31" s="174"/>
      <c r="G31" s="175"/>
      <c r="H31" s="20" t="s">
        <v>21</v>
      </c>
      <c r="I31" s="99" t="s">
        <v>22</v>
      </c>
      <c r="M31" s="5"/>
    </row>
    <row r="32" spans="2:13" ht="15" customHeight="1" x14ac:dyDescent="0.25">
      <c r="B32" s="90">
        <v>16</v>
      </c>
      <c r="C32" s="162" t="s">
        <v>41</v>
      </c>
      <c r="D32" s="163"/>
      <c r="E32" s="163"/>
      <c r="F32" s="163"/>
      <c r="G32" s="164"/>
      <c r="H32" s="20" t="s">
        <v>21</v>
      </c>
      <c r="I32" s="125" t="s">
        <v>42</v>
      </c>
      <c r="M32" s="5"/>
    </row>
    <row r="33" spans="2:19" ht="15" customHeight="1" x14ac:dyDescent="0.25">
      <c r="B33" s="90">
        <v>17</v>
      </c>
      <c r="C33" s="162" t="s">
        <v>43</v>
      </c>
      <c r="D33" s="163"/>
      <c r="E33" s="163"/>
      <c r="F33" s="163"/>
      <c r="G33" s="164"/>
      <c r="H33" s="20" t="s">
        <v>11</v>
      </c>
      <c r="I33" s="126" t="s">
        <v>44</v>
      </c>
      <c r="K33" s="5"/>
      <c r="L33" s="5"/>
      <c r="M33" s="5"/>
    </row>
    <row r="36" spans="2:19" s="2" customFormat="1" x14ac:dyDescent="0.25">
      <c r="B36" s="1"/>
      <c r="C36" s="1"/>
      <c r="D36" s="1"/>
      <c r="E36" s="1"/>
      <c r="F36" s="1"/>
      <c r="G36" s="1"/>
      <c r="H36" s="1"/>
      <c r="S36" s="1"/>
    </row>
    <row r="37" spans="2:19" s="2" customFormat="1" x14ac:dyDescent="0.25">
      <c r="B37" s="1"/>
      <c r="C37" s="1"/>
      <c r="D37" s="1"/>
      <c r="E37" s="1"/>
      <c r="F37" s="1"/>
      <c r="G37" s="1"/>
      <c r="H37" s="1"/>
      <c r="S37" s="1"/>
    </row>
    <row r="38" spans="2:19" s="2" customFormat="1" x14ac:dyDescent="0.25">
      <c r="B38" s="1"/>
      <c r="C38" s="1"/>
      <c r="D38" s="1"/>
      <c r="E38" s="1"/>
      <c r="F38" s="1"/>
      <c r="G38" s="1"/>
      <c r="H38" s="1"/>
      <c r="S38" s="1"/>
    </row>
    <row r="39" spans="2:19" s="2" customFormat="1" x14ac:dyDescent="0.25">
      <c r="D39" s="1"/>
      <c r="E39" s="1"/>
      <c r="F39" s="1"/>
      <c r="G39" s="1"/>
      <c r="H39" s="1"/>
    </row>
    <row r="40" spans="2:19" s="2" customFormat="1" x14ac:dyDescent="0.25">
      <c r="D40" s="1"/>
      <c r="E40" s="1"/>
      <c r="F40" s="1"/>
      <c r="G40" s="1"/>
      <c r="H40" s="1"/>
    </row>
    <row r="41" spans="2:19" s="2" customFormat="1" x14ac:dyDescent="0.25">
      <c r="D41" s="1"/>
      <c r="E41" s="1"/>
      <c r="F41" s="1"/>
      <c r="G41" s="1"/>
      <c r="H41" s="1"/>
    </row>
    <row r="42" spans="2:19" s="2" customFormat="1" x14ac:dyDescent="0.25">
      <c r="D42" s="1"/>
      <c r="E42" s="1"/>
      <c r="F42" s="1"/>
      <c r="G42" s="1"/>
      <c r="H42" s="1"/>
    </row>
    <row r="43" spans="2:19" s="2" customFormat="1" x14ac:dyDescent="0.25">
      <c r="D43" s="1"/>
      <c r="E43" s="1"/>
      <c r="F43" s="1"/>
      <c r="G43" s="1"/>
      <c r="H43" s="1"/>
    </row>
    <row r="44" spans="2:19" s="2" customFormat="1" x14ac:dyDescent="0.25">
      <c r="D44" s="1"/>
      <c r="E44" s="1"/>
      <c r="F44" s="1"/>
      <c r="G44" s="1"/>
      <c r="H44" s="1"/>
    </row>
  </sheetData>
  <mergeCells count="30">
    <mergeCell ref="C31:G31"/>
    <mergeCell ref="C30:G30"/>
    <mergeCell ref="C18:G18"/>
    <mergeCell ref="E14:F14"/>
    <mergeCell ref="B2:H4"/>
    <mergeCell ref="C13:H13"/>
    <mergeCell ref="C9:H9"/>
    <mergeCell ref="C10:H10"/>
    <mergeCell ref="C11:H11"/>
    <mergeCell ref="C6:H7"/>
    <mergeCell ref="C14:D14"/>
    <mergeCell ref="G14:H14"/>
    <mergeCell ref="D12:F12"/>
    <mergeCell ref="G12:H12"/>
    <mergeCell ref="C33:G33"/>
    <mergeCell ref="C29:G29"/>
    <mergeCell ref="B6:B7"/>
    <mergeCell ref="C24:G24"/>
    <mergeCell ref="C25:G25"/>
    <mergeCell ref="C26:G26"/>
    <mergeCell ref="C27:G27"/>
    <mergeCell ref="C28:G28"/>
    <mergeCell ref="C19:G19"/>
    <mergeCell ref="C20:G20"/>
    <mergeCell ref="C21:G21"/>
    <mergeCell ref="C22:G22"/>
    <mergeCell ref="C23:G23"/>
    <mergeCell ref="C16:G16"/>
    <mergeCell ref="C32:G32"/>
    <mergeCell ref="C17:G17"/>
  </mergeCells>
  <conditionalFormatting sqref="C12 H17:H33">
    <cfRule type="cellIs" dxfId="1" priority="7" operator="equal">
      <formula>"No"</formula>
    </cfRule>
    <cfRule type="cellIs" dxfId="0" priority="8" operator="equal">
      <formula>"Yes"</formula>
    </cfRule>
  </conditionalFormatting>
  <dataValidations count="1">
    <dataValidation type="list" allowBlank="1" showInputMessage="1" showErrorMessage="1" sqref="C12 H17:H33" xr:uid="{00000000-0002-0000-0000-000000000000}">
      <formula1>"Yes,No"</formula1>
    </dataValidation>
  </dataValidations>
  <pageMargins left="0.7" right="0.7" top="0.75" bottom="0.75" header="0.3" footer="0.3"/>
  <pageSetup scale="56" orientation="landscape" horizontalDpi="300" verticalDpi="0"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D1F95C-B485-4B78-AA4B-89949E81A618}">
  <sheetPr codeName="Sheet11"/>
  <dimension ref="H9:H18"/>
  <sheetViews>
    <sheetView workbookViewId="0">
      <selection activeCell="H8" sqref="H8"/>
    </sheetView>
  </sheetViews>
  <sheetFormatPr defaultRowHeight="13.2" x14ac:dyDescent="0.25"/>
  <sheetData>
    <row r="9" spans="8:8" x14ac:dyDescent="0.25">
      <c r="H9">
        <v>1</v>
      </c>
    </row>
    <row r="10" spans="8:8" x14ac:dyDescent="0.25">
      <c r="H10">
        <v>2</v>
      </c>
    </row>
    <row r="11" spans="8:8" x14ac:dyDescent="0.25">
      <c r="H11">
        <v>3</v>
      </c>
    </row>
    <row r="12" spans="8:8" x14ac:dyDescent="0.25">
      <c r="H12">
        <v>4</v>
      </c>
    </row>
    <row r="13" spans="8:8" x14ac:dyDescent="0.25">
      <c r="H13">
        <v>5</v>
      </c>
    </row>
    <row r="14" spans="8:8" x14ac:dyDescent="0.25">
      <c r="H14">
        <v>6</v>
      </c>
    </row>
    <row r="15" spans="8:8" x14ac:dyDescent="0.25">
      <c r="H15">
        <v>7</v>
      </c>
    </row>
    <row r="16" spans="8:8" x14ac:dyDescent="0.25">
      <c r="H16">
        <v>8</v>
      </c>
    </row>
    <row r="17" spans="8:8" x14ac:dyDescent="0.25">
      <c r="H17">
        <v>9</v>
      </c>
    </row>
    <row r="18" spans="8:8" x14ac:dyDescent="0.25">
      <c r="H18">
        <v>10</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7281" r:id="rId4" name="Button 1">
              <controlPr defaultSize="0" print="0" autoFill="0" autoPict="0" macro="[0]!Getinfo">
                <anchor moveWithCells="1" sizeWithCells="1">
                  <from>
                    <xdr:col>3</xdr:col>
                    <xdr:colOff>175260</xdr:colOff>
                    <xdr:row>8</xdr:row>
                    <xdr:rowOff>99060</xdr:rowOff>
                  </from>
                  <to>
                    <xdr:col>5</xdr:col>
                    <xdr:colOff>121920</xdr:colOff>
                    <xdr:row>12</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theme="3" tint="0.39997558519241921"/>
  </sheetPr>
  <dimension ref="A1:M3001"/>
  <sheetViews>
    <sheetView zoomScale="70" zoomScaleNormal="70" zoomScaleSheetLayoutView="80" workbookViewId="0">
      <pane ySplit="3" topLeftCell="A7" activePane="bottomLeft" state="frozenSplit"/>
      <selection pane="bottomLeft" activeCell="E9" sqref="E9"/>
    </sheetView>
  </sheetViews>
  <sheetFormatPr defaultColWidth="9.33203125" defaultRowHeight="20.100000000000001" customHeight="1" x14ac:dyDescent="0.25"/>
  <cols>
    <col min="1" max="3" width="23.6640625" customWidth="1"/>
    <col min="4" max="4" width="25.33203125" customWidth="1"/>
    <col min="5" max="13" width="23.6640625" customWidth="1"/>
  </cols>
  <sheetData>
    <row r="1" spans="1:13" s="21" customFormat="1" ht="19.5" customHeight="1" thickBot="1" x14ac:dyDescent="0.35">
      <c r="A1" s="204" t="str">
        <f>Main!C9&amp;" "&amp;Main!C10&amp;" "&amp;Main!C11</f>
        <v xml:space="preserve">RQONE00001940, RQONE00009617, RQONE03778238, RQONE01709705, RQONE00002123, RQONE00002336, RQONE00002352, RQONE00032318, RQONE00756828 MS/EPC42-PS, MS/EPS21-SWC </v>
      </c>
      <c r="B1" s="204"/>
      <c r="C1" s="204"/>
      <c r="D1" s="204"/>
      <c r="E1" s="204"/>
      <c r="F1" s="204" t="str">
        <f>Main!C9&amp;" "&amp;Main!C10&amp;" "&amp;Main!C11</f>
        <v xml:space="preserve">RQONE00001940, RQONE00009617, RQONE03778238, RQONE01709705, RQONE00002123, RQONE00002336, RQONE00002352, RQONE00032318, RQONE00756828 MS/EPC42-PS, MS/EPS21-SWC </v>
      </c>
      <c r="G1" s="204"/>
      <c r="H1" s="204"/>
      <c r="I1" s="204"/>
      <c r="J1" s="204"/>
      <c r="K1" s="204" t="str">
        <f>Main!C9&amp;" "&amp;Main!C10</f>
        <v>RQONE00001940, RQONE00009617, RQONE03778238, RQONE01709705, RQONE00002123, RQONE00002336, RQONE00002352, RQONE00032318, RQONE00756828 MS/EPC42-PS, MS/EPS21-SWC</v>
      </c>
      <c r="L1" s="204"/>
      <c r="M1" s="204"/>
    </row>
    <row r="2" spans="1:13" ht="18" thickBot="1" x14ac:dyDescent="0.3">
      <c r="A2" s="198" t="s">
        <v>2391</v>
      </c>
      <c r="B2" s="199"/>
      <c r="C2" s="199"/>
      <c r="D2" s="199"/>
      <c r="E2" s="200"/>
      <c r="F2" s="195" t="s">
        <v>2460</v>
      </c>
      <c r="G2" s="196"/>
      <c r="H2" s="196"/>
      <c r="I2" s="196"/>
      <c r="J2" s="197"/>
      <c r="K2" s="201" t="s">
        <v>2548</v>
      </c>
      <c r="L2" s="202"/>
      <c r="M2" s="203"/>
    </row>
    <row r="3" spans="1:13" ht="17.399999999999999" x14ac:dyDescent="0.25">
      <c r="A3" s="6" t="s">
        <v>2386</v>
      </c>
      <c r="B3" s="7" t="s">
        <v>2387</v>
      </c>
      <c r="C3" s="8" t="s">
        <v>2388</v>
      </c>
      <c r="D3" s="9" t="s">
        <v>2389</v>
      </c>
      <c r="E3" s="10" t="s">
        <v>2390</v>
      </c>
      <c r="F3" s="6" t="s">
        <v>2455</v>
      </c>
      <c r="G3" s="7" t="s">
        <v>2456</v>
      </c>
      <c r="H3" s="11" t="s">
        <v>2457</v>
      </c>
      <c r="I3" s="12" t="s">
        <v>2458</v>
      </c>
      <c r="J3" s="13" t="s">
        <v>2459</v>
      </c>
      <c r="K3" s="6" t="s">
        <v>2545</v>
      </c>
      <c r="L3" s="7" t="s">
        <v>2546</v>
      </c>
      <c r="M3" s="14" t="s">
        <v>2547</v>
      </c>
    </row>
    <row r="4" spans="1:13" ht="61.5" customHeight="1" x14ac:dyDescent="0.25">
      <c r="A4" s="92" t="s">
        <v>1076</v>
      </c>
      <c r="B4" s="92" t="s">
        <v>1073</v>
      </c>
      <c r="C4" s="141" t="s">
        <v>1077</v>
      </c>
      <c r="D4" s="92" t="s">
        <v>1074</v>
      </c>
      <c r="E4" s="92" t="s">
        <v>1083</v>
      </c>
      <c r="F4" s="92" t="s">
        <v>2395</v>
      </c>
      <c r="G4" s="92" t="s">
        <v>1126</v>
      </c>
      <c r="H4" s="153" t="s">
        <v>2393</v>
      </c>
      <c r="I4" s="145" t="s">
        <v>2392</v>
      </c>
      <c r="J4" s="141" t="s">
        <v>2396</v>
      </c>
      <c r="K4" s="92" t="s">
        <v>1972</v>
      </c>
      <c r="L4" s="92" t="s">
        <v>1151</v>
      </c>
      <c r="M4" s="92" t="s">
        <v>1153</v>
      </c>
    </row>
    <row r="5" spans="1:13" ht="40.200000000000003" customHeight="1" x14ac:dyDescent="0.25">
      <c r="A5" s="92" t="s">
        <v>1100</v>
      </c>
      <c r="B5" s="92" t="s">
        <v>422</v>
      </c>
      <c r="C5" s="141" t="s">
        <v>1916</v>
      </c>
      <c r="D5" s="92" t="s">
        <v>1075</v>
      </c>
      <c r="E5" s="92" t="s">
        <v>1086</v>
      </c>
      <c r="F5" s="145" t="s">
        <v>2398</v>
      </c>
      <c r="G5" s="92" t="s">
        <v>1127</v>
      </c>
      <c r="H5" s="92" t="s">
        <v>2394</v>
      </c>
      <c r="I5" s="145" t="s">
        <v>1135</v>
      </c>
      <c r="K5" s="92" t="s">
        <v>1973</v>
      </c>
      <c r="L5" s="92" t="s">
        <v>1152</v>
      </c>
      <c r="M5" s="92" t="s">
        <v>1574</v>
      </c>
    </row>
    <row r="6" spans="1:13" ht="40.200000000000003" customHeight="1" x14ac:dyDescent="0.25">
      <c r="A6" s="141" t="s">
        <v>1106</v>
      </c>
      <c r="B6" s="92" t="s">
        <v>1082</v>
      </c>
      <c r="C6" s="92" t="s">
        <v>1488</v>
      </c>
      <c r="D6" s="92" t="s">
        <v>1078</v>
      </c>
      <c r="E6" s="92" t="s">
        <v>1087</v>
      </c>
      <c r="F6" s="92" t="s">
        <v>1150</v>
      </c>
      <c r="G6" s="92" t="s">
        <v>1128</v>
      </c>
      <c r="H6" s="92" t="s">
        <v>1144</v>
      </c>
      <c r="I6" s="92" t="s">
        <v>1509</v>
      </c>
      <c r="K6" s="92" t="s">
        <v>1155</v>
      </c>
      <c r="L6" s="92" t="s">
        <v>1154</v>
      </c>
      <c r="M6" s="141" t="s">
        <v>1759</v>
      </c>
    </row>
    <row r="7" spans="1:13" ht="40.200000000000003" customHeight="1" x14ac:dyDescent="0.25">
      <c r="A7" s="92" t="s">
        <v>1230</v>
      </c>
      <c r="B7" s="92" t="s">
        <v>1092</v>
      </c>
      <c r="C7" s="92" t="s">
        <v>1084</v>
      </c>
      <c r="D7" s="92" t="s">
        <v>1079</v>
      </c>
      <c r="E7" s="92" t="s">
        <v>1489</v>
      </c>
      <c r="F7" s="145" t="s">
        <v>1927</v>
      </c>
      <c r="G7" s="92" t="s">
        <v>1129</v>
      </c>
      <c r="H7" s="92" t="s">
        <v>2397</v>
      </c>
      <c r="I7" s="92" t="s">
        <v>1664</v>
      </c>
      <c r="K7" s="92" t="s">
        <v>1157</v>
      </c>
      <c r="L7" s="92" t="s">
        <v>1156</v>
      </c>
      <c r="M7" s="92" t="s">
        <v>2461</v>
      </c>
    </row>
    <row r="8" spans="1:13" ht="40.200000000000003" customHeight="1" x14ac:dyDescent="0.25">
      <c r="A8" s="92" t="s">
        <v>1113</v>
      </c>
      <c r="B8" s="92" t="s">
        <v>1657</v>
      </c>
      <c r="C8" s="92" t="s">
        <v>1091</v>
      </c>
      <c r="D8" s="92" t="s">
        <v>1656</v>
      </c>
      <c r="E8" s="92" t="s">
        <v>1090</v>
      </c>
      <c r="F8" s="92" t="s">
        <v>2401</v>
      </c>
      <c r="G8" s="92" t="s">
        <v>1130</v>
      </c>
      <c r="H8" s="92" t="s">
        <v>1149</v>
      </c>
      <c r="I8" s="92" t="s">
        <v>1665</v>
      </c>
      <c r="K8" s="92" t="s">
        <v>1158</v>
      </c>
      <c r="L8" s="92" t="s">
        <v>1165</v>
      </c>
      <c r="M8" s="92" t="s">
        <v>1575</v>
      </c>
    </row>
    <row r="9" spans="1:13" ht="40.200000000000003" customHeight="1" x14ac:dyDescent="0.25">
      <c r="A9" s="92" t="s">
        <v>1114</v>
      </c>
      <c r="B9" s="92" t="s">
        <v>1097</v>
      </c>
      <c r="C9" s="92" t="s">
        <v>1098</v>
      </c>
      <c r="D9" s="92" t="s">
        <v>1080</v>
      </c>
      <c r="E9" s="92" t="s">
        <v>1095</v>
      </c>
      <c r="F9" s="92" t="s">
        <v>1930</v>
      </c>
      <c r="G9" s="92" t="s">
        <v>1131</v>
      </c>
      <c r="H9" s="152" t="s">
        <v>1919</v>
      </c>
      <c r="I9" s="92" t="s">
        <v>1666</v>
      </c>
      <c r="K9" s="92" t="s">
        <v>1159</v>
      </c>
      <c r="L9" s="92" t="s">
        <v>423</v>
      </c>
      <c r="M9" s="141" t="s">
        <v>1760</v>
      </c>
    </row>
    <row r="10" spans="1:13" ht="40.200000000000003" customHeight="1" x14ac:dyDescent="0.25">
      <c r="A10" s="92" t="s">
        <v>1115</v>
      </c>
      <c r="B10" s="92" t="s">
        <v>1110</v>
      </c>
      <c r="C10" s="92" t="s">
        <v>2363</v>
      </c>
      <c r="D10" s="92" t="s">
        <v>1081</v>
      </c>
      <c r="E10" s="92" t="s">
        <v>1116</v>
      </c>
      <c r="F10" s="92" t="s">
        <v>2409</v>
      </c>
      <c r="G10" s="92" t="s">
        <v>1132</v>
      </c>
      <c r="H10" s="92" t="s">
        <v>1231</v>
      </c>
      <c r="I10" s="92" t="s">
        <v>1667</v>
      </c>
      <c r="K10" s="92" t="s">
        <v>1160</v>
      </c>
      <c r="L10" s="92" t="s">
        <v>1166</v>
      </c>
      <c r="M10" s="141" t="s">
        <v>1761</v>
      </c>
    </row>
    <row r="11" spans="1:13" ht="40.200000000000003" customHeight="1" x14ac:dyDescent="0.25">
      <c r="A11" s="92" t="s">
        <v>1118</v>
      </c>
      <c r="B11" s="92" t="s">
        <v>1659</v>
      </c>
      <c r="C11" s="92" t="s">
        <v>1099</v>
      </c>
      <c r="D11" s="92" t="s">
        <v>1487</v>
      </c>
      <c r="E11" s="92" t="s">
        <v>1492</v>
      </c>
      <c r="F11" s="92" t="s">
        <v>2073</v>
      </c>
      <c r="G11" s="92" t="s">
        <v>1133</v>
      </c>
      <c r="H11" s="92" t="s">
        <v>1521</v>
      </c>
      <c r="I11" s="92" t="s">
        <v>1668</v>
      </c>
      <c r="K11" s="92" t="s">
        <v>1161</v>
      </c>
      <c r="L11" s="92" t="s">
        <v>424</v>
      </c>
      <c r="M11" s="92" t="s">
        <v>2462</v>
      </c>
    </row>
    <row r="12" spans="1:13" ht="40.200000000000003" customHeight="1" x14ac:dyDescent="0.25">
      <c r="A12" s="141" t="s">
        <v>1119</v>
      </c>
      <c r="B12" s="92" t="s">
        <v>2376</v>
      </c>
      <c r="C12" s="92" t="s">
        <v>1103</v>
      </c>
      <c r="D12" s="92" t="s">
        <v>1085</v>
      </c>
      <c r="E12" s="141" t="s">
        <v>1498</v>
      </c>
      <c r="F12" s="92" t="s">
        <v>2412</v>
      </c>
      <c r="G12" s="92" t="s">
        <v>1134</v>
      </c>
      <c r="H12" s="152" t="s">
        <v>2070</v>
      </c>
      <c r="I12" s="92" t="s">
        <v>1669</v>
      </c>
      <c r="K12" s="92" t="s">
        <v>1162</v>
      </c>
      <c r="L12" s="92" t="s">
        <v>425</v>
      </c>
      <c r="M12" s="92" t="s">
        <v>1576</v>
      </c>
    </row>
    <row r="13" spans="1:13" ht="40.200000000000003" customHeight="1" x14ac:dyDescent="0.25">
      <c r="A13" s="92" t="s">
        <v>1121</v>
      </c>
      <c r="B13" s="92" t="s">
        <v>2383</v>
      </c>
      <c r="C13" s="92" t="s">
        <v>1493</v>
      </c>
      <c r="D13" s="92" t="s">
        <v>1088</v>
      </c>
      <c r="E13" s="157" t="s">
        <v>1918</v>
      </c>
      <c r="G13" s="92" t="s">
        <v>1136</v>
      </c>
      <c r="H13" s="92" t="s">
        <v>2072</v>
      </c>
      <c r="I13" s="92" t="s">
        <v>1670</v>
      </c>
      <c r="K13" s="92" t="s">
        <v>1163</v>
      </c>
      <c r="L13" s="92" t="s">
        <v>426</v>
      </c>
      <c r="M13" s="92" t="s">
        <v>2465</v>
      </c>
    </row>
    <row r="14" spans="1:13" ht="40.200000000000003" customHeight="1" x14ac:dyDescent="0.25">
      <c r="A14" s="141" t="s">
        <v>2367</v>
      </c>
      <c r="C14" s="92" t="s">
        <v>1658</v>
      </c>
      <c r="D14" s="92" t="s">
        <v>1089</v>
      </c>
      <c r="E14" s="141" t="s">
        <v>2065</v>
      </c>
      <c r="G14" s="92" t="s">
        <v>1137</v>
      </c>
      <c r="H14" s="92" t="s">
        <v>1968</v>
      </c>
      <c r="I14" s="92" t="s">
        <v>1671</v>
      </c>
      <c r="K14" s="92" t="s">
        <v>1164</v>
      </c>
      <c r="L14" s="92" t="s">
        <v>1192</v>
      </c>
      <c r="M14" s="141" t="s">
        <v>1762</v>
      </c>
    </row>
    <row r="15" spans="1:13" ht="40.200000000000003" customHeight="1" x14ac:dyDescent="0.25">
      <c r="A15" s="92" t="s">
        <v>1125</v>
      </c>
      <c r="C15" s="92" t="s">
        <v>2366</v>
      </c>
      <c r="D15" s="92" t="s">
        <v>1093</v>
      </c>
      <c r="G15" s="92" t="s">
        <v>1138</v>
      </c>
      <c r="H15" s="152" t="s">
        <v>2074</v>
      </c>
      <c r="I15" s="92" t="s">
        <v>1672</v>
      </c>
      <c r="K15" s="92" t="s">
        <v>1974</v>
      </c>
      <c r="L15" s="92" t="s">
        <v>1194</v>
      </c>
      <c r="M15" s="92" t="s">
        <v>2466</v>
      </c>
    </row>
    <row r="16" spans="1:13" ht="52.5" customHeight="1" x14ac:dyDescent="0.25">
      <c r="A16" s="92" t="s">
        <v>2055</v>
      </c>
      <c r="C16" s="92" t="s">
        <v>1123</v>
      </c>
      <c r="D16" s="92" t="s">
        <v>2361</v>
      </c>
      <c r="G16" s="92" t="s">
        <v>1139</v>
      </c>
      <c r="H16" s="152" t="s">
        <v>2410</v>
      </c>
      <c r="I16" s="92" t="s">
        <v>1673</v>
      </c>
      <c r="K16" s="92" t="s">
        <v>1167</v>
      </c>
      <c r="L16" s="92" t="s">
        <v>1198</v>
      </c>
      <c r="M16" s="141" t="s">
        <v>2098</v>
      </c>
    </row>
    <row r="17" spans="1:13" ht="62.25" customHeight="1" x14ac:dyDescent="0.25">
      <c r="A17" s="92" t="s">
        <v>1500</v>
      </c>
      <c r="C17" s="92" t="s">
        <v>2368</v>
      </c>
      <c r="D17" s="92" t="s">
        <v>1094</v>
      </c>
      <c r="G17" s="92" t="s">
        <v>1663</v>
      </c>
      <c r="H17" s="92" t="s">
        <v>2080</v>
      </c>
      <c r="I17" s="92" t="s">
        <v>1674</v>
      </c>
      <c r="K17" s="92" t="s">
        <v>1571</v>
      </c>
      <c r="L17" s="92" t="s">
        <v>1199</v>
      </c>
      <c r="M17" s="141" t="s">
        <v>2467</v>
      </c>
    </row>
    <row r="18" spans="1:13" ht="40.200000000000003" customHeight="1" x14ac:dyDescent="0.25">
      <c r="A18" s="92" t="s">
        <v>1501</v>
      </c>
      <c r="C18" s="92" t="s">
        <v>1124</v>
      </c>
      <c r="D18" s="92" t="s">
        <v>2362</v>
      </c>
      <c r="G18" s="92" t="s">
        <v>1140</v>
      </c>
      <c r="H18" s="92" t="s">
        <v>2081</v>
      </c>
      <c r="I18" s="92" t="s">
        <v>1675</v>
      </c>
      <c r="K18" s="92" t="s">
        <v>1168</v>
      </c>
      <c r="L18" s="92" t="s">
        <v>1200</v>
      </c>
      <c r="M18" s="141" t="s">
        <v>2468</v>
      </c>
    </row>
    <row r="19" spans="1:13" ht="40.200000000000003" customHeight="1" x14ac:dyDescent="0.25">
      <c r="A19" s="92" t="s">
        <v>1502</v>
      </c>
      <c r="C19" s="92" t="s">
        <v>1215</v>
      </c>
      <c r="D19" s="92" t="s">
        <v>1096</v>
      </c>
      <c r="G19" s="92" t="s">
        <v>1141</v>
      </c>
      <c r="H19" s="152" t="s">
        <v>2411</v>
      </c>
      <c r="I19" s="92" t="s">
        <v>1676</v>
      </c>
      <c r="K19" s="92" t="s">
        <v>1169</v>
      </c>
      <c r="L19" s="92" t="s">
        <v>1201</v>
      </c>
      <c r="M19" s="92" t="s">
        <v>1975</v>
      </c>
    </row>
    <row r="20" spans="1:13" ht="40.200000000000003" customHeight="1" x14ac:dyDescent="0.25">
      <c r="A20" s="92" t="s">
        <v>1503</v>
      </c>
      <c r="C20" s="92" t="s">
        <v>1494</v>
      </c>
      <c r="D20" s="92" t="s">
        <v>1490</v>
      </c>
      <c r="G20" s="92" t="s">
        <v>1142</v>
      </c>
      <c r="H20" s="92" t="s">
        <v>2413</v>
      </c>
      <c r="I20" s="92" t="s">
        <v>1677</v>
      </c>
      <c r="K20" s="92" t="s">
        <v>1170</v>
      </c>
      <c r="L20" s="92" t="s">
        <v>1211</v>
      </c>
      <c r="M20" s="145" t="s">
        <v>2475</v>
      </c>
    </row>
    <row r="21" spans="1:13" ht="40.200000000000003" customHeight="1" x14ac:dyDescent="0.25">
      <c r="A21" s="92" t="s">
        <v>1504</v>
      </c>
      <c r="C21" s="141" t="s">
        <v>1495</v>
      </c>
      <c r="D21" s="92" t="s">
        <v>1101</v>
      </c>
      <c r="G21" s="92" t="s">
        <v>1147</v>
      </c>
      <c r="H21" s="92" t="s">
        <v>2414</v>
      </c>
      <c r="I21" s="92" t="s">
        <v>1678</v>
      </c>
      <c r="K21" s="92" t="s">
        <v>1171</v>
      </c>
      <c r="L21" s="92" t="s">
        <v>1212</v>
      </c>
      <c r="M21" s="145" t="s">
        <v>2478</v>
      </c>
    </row>
    <row r="22" spans="1:13" ht="40.200000000000003" customHeight="1" x14ac:dyDescent="0.25">
      <c r="A22" s="92" t="s">
        <v>1505</v>
      </c>
      <c r="C22" s="92" t="s">
        <v>1496</v>
      </c>
      <c r="D22" s="92" t="s">
        <v>2364</v>
      </c>
      <c r="G22" s="92" t="s">
        <v>1148</v>
      </c>
      <c r="H22" s="92" t="s">
        <v>2415</v>
      </c>
      <c r="I22" s="92" t="s">
        <v>1679</v>
      </c>
      <c r="K22" s="92" t="s">
        <v>1172</v>
      </c>
      <c r="L22" s="92" t="s">
        <v>1213</v>
      </c>
      <c r="M22" s="145" t="s">
        <v>2479</v>
      </c>
    </row>
    <row r="23" spans="1:13" ht="40.200000000000003" customHeight="1" x14ac:dyDescent="0.25">
      <c r="A23" s="141" t="s">
        <v>1660</v>
      </c>
      <c r="C23" s="141" t="s">
        <v>1497</v>
      </c>
      <c r="D23" s="92" t="s">
        <v>1102</v>
      </c>
      <c r="G23" s="92" t="s">
        <v>2404</v>
      </c>
      <c r="H23" s="92" t="s">
        <v>2435</v>
      </c>
      <c r="I23" s="92" t="s">
        <v>1680</v>
      </c>
      <c r="K23" s="92" t="s">
        <v>1173</v>
      </c>
      <c r="L23" s="92" t="s">
        <v>2105</v>
      </c>
      <c r="M23" s="145" t="s">
        <v>2480</v>
      </c>
    </row>
    <row r="24" spans="1:13" ht="40.200000000000003" customHeight="1" x14ac:dyDescent="0.25">
      <c r="A24" s="141" t="s">
        <v>1661</v>
      </c>
      <c r="C24" s="92" t="s">
        <v>1499</v>
      </c>
      <c r="D24" s="92" t="s">
        <v>2365</v>
      </c>
      <c r="G24" s="92" t="s">
        <v>1570</v>
      </c>
      <c r="H24" s="92" t="s">
        <v>2448</v>
      </c>
      <c r="I24" s="92" t="s">
        <v>1681</v>
      </c>
      <c r="K24" s="92" t="s">
        <v>1174</v>
      </c>
      <c r="M24" s="145" t="s">
        <v>2481</v>
      </c>
    </row>
    <row r="25" spans="1:13" ht="40.200000000000003" customHeight="1" x14ac:dyDescent="0.25">
      <c r="A25" s="92" t="s">
        <v>1917</v>
      </c>
      <c r="C25" s="92" t="s">
        <v>1506</v>
      </c>
      <c r="D25" s="92" t="s">
        <v>1104</v>
      </c>
      <c r="G25" s="92" t="s">
        <v>1929</v>
      </c>
      <c r="H25" s="92" t="s">
        <v>2449</v>
      </c>
      <c r="I25" s="92" t="s">
        <v>1682</v>
      </c>
      <c r="K25" s="92" t="s">
        <v>1175</v>
      </c>
      <c r="M25" s="92" t="s">
        <v>2482</v>
      </c>
    </row>
    <row r="26" spans="1:13" ht="40.200000000000003" customHeight="1" x14ac:dyDescent="0.25">
      <c r="A26" s="141" t="s">
        <v>2373</v>
      </c>
      <c r="C26" s="141" t="s">
        <v>1507</v>
      </c>
      <c r="D26" s="92" t="s">
        <v>1105</v>
      </c>
      <c r="I26" s="92" t="s">
        <v>1683</v>
      </c>
      <c r="K26" s="92" t="s">
        <v>1176</v>
      </c>
      <c r="M26" s="141" t="s">
        <v>2483</v>
      </c>
    </row>
    <row r="27" spans="1:13" ht="40.200000000000003" customHeight="1" x14ac:dyDescent="0.25">
      <c r="A27" s="141" t="s">
        <v>2374</v>
      </c>
      <c r="C27" s="92" t="s">
        <v>1508</v>
      </c>
      <c r="D27" s="92" t="s">
        <v>1107</v>
      </c>
      <c r="I27" s="92" t="s">
        <v>1684</v>
      </c>
      <c r="K27" s="92" t="s">
        <v>1177</v>
      </c>
      <c r="M27" s="141" t="s">
        <v>2484</v>
      </c>
    </row>
    <row r="28" spans="1:13" ht="40.200000000000003" customHeight="1" x14ac:dyDescent="0.25">
      <c r="A28" s="141" t="s">
        <v>2375</v>
      </c>
      <c r="C28" s="92" t="s">
        <v>2370</v>
      </c>
      <c r="D28" s="92" t="s">
        <v>1108</v>
      </c>
      <c r="I28" s="92" t="s">
        <v>1685</v>
      </c>
      <c r="K28" s="92" t="s">
        <v>1178</v>
      </c>
      <c r="M28" s="141" t="s">
        <v>2485</v>
      </c>
    </row>
    <row r="29" spans="1:13" ht="40.200000000000003" customHeight="1" x14ac:dyDescent="0.25">
      <c r="A29" s="92" t="s">
        <v>2377</v>
      </c>
      <c r="C29" s="92" t="s">
        <v>1662</v>
      </c>
      <c r="D29" s="92" t="s">
        <v>1109</v>
      </c>
      <c r="I29" s="92" t="s">
        <v>1686</v>
      </c>
      <c r="K29" s="92" t="s">
        <v>1179</v>
      </c>
      <c r="M29" s="141" t="s">
        <v>2486</v>
      </c>
    </row>
    <row r="30" spans="1:13" ht="40.200000000000003" customHeight="1" x14ac:dyDescent="0.25">
      <c r="A30" s="152" t="s">
        <v>2378</v>
      </c>
      <c r="C30" s="92" t="s">
        <v>2057</v>
      </c>
      <c r="D30" s="92" t="s">
        <v>1111</v>
      </c>
      <c r="I30" s="92" t="s">
        <v>1687</v>
      </c>
      <c r="K30" s="92" t="s">
        <v>1180</v>
      </c>
      <c r="M30" s="92" t="s">
        <v>2489</v>
      </c>
    </row>
    <row r="31" spans="1:13" ht="40.200000000000003" customHeight="1" x14ac:dyDescent="0.25">
      <c r="A31" s="92" t="s">
        <v>2380</v>
      </c>
      <c r="C31" s="92" t="s">
        <v>2372</v>
      </c>
      <c r="D31" s="92" t="s">
        <v>1112</v>
      </c>
      <c r="I31" s="92" t="s">
        <v>1688</v>
      </c>
      <c r="K31" s="92" t="s">
        <v>1181</v>
      </c>
      <c r="M31" s="141" t="s">
        <v>2106</v>
      </c>
    </row>
    <row r="32" spans="1:13" ht="40.200000000000003" customHeight="1" x14ac:dyDescent="0.25">
      <c r="A32" s="152" t="s">
        <v>2381</v>
      </c>
      <c r="C32" s="92" t="s">
        <v>2061</v>
      </c>
      <c r="D32" s="92" t="s">
        <v>1117</v>
      </c>
      <c r="I32" s="92" t="s">
        <v>1689</v>
      </c>
      <c r="K32" s="92" t="s">
        <v>1182</v>
      </c>
      <c r="M32" s="92" t="s">
        <v>2491</v>
      </c>
    </row>
    <row r="33" spans="1:13" ht="40.200000000000003" customHeight="1" x14ac:dyDescent="0.25">
      <c r="A33" s="161" t="s">
        <v>2382</v>
      </c>
      <c r="C33" s="92" t="s">
        <v>2062</v>
      </c>
      <c r="D33" s="92" t="s">
        <v>1491</v>
      </c>
      <c r="I33" s="92" t="s">
        <v>1690</v>
      </c>
      <c r="K33" s="92" t="s">
        <v>1183</v>
      </c>
      <c r="M33" s="92" t="s">
        <v>2496</v>
      </c>
    </row>
    <row r="34" spans="1:13" ht="40.200000000000003" customHeight="1" x14ac:dyDescent="0.25">
      <c r="A34" s="92" t="s">
        <v>2384</v>
      </c>
      <c r="C34" s="141" t="s">
        <v>2066</v>
      </c>
      <c r="D34" s="92" t="s">
        <v>1120</v>
      </c>
      <c r="I34" s="92" t="s">
        <v>1691</v>
      </c>
      <c r="K34" s="92" t="s">
        <v>1184</v>
      </c>
      <c r="M34" s="141" t="s">
        <v>2498</v>
      </c>
    </row>
    <row r="35" spans="1:13" ht="40.200000000000003" customHeight="1" x14ac:dyDescent="0.25">
      <c r="D35" s="92" t="s">
        <v>1122</v>
      </c>
      <c r="I35" s="92" t="s">
        <v>1692</v>
      </c>
      <c r="K35" s="92" t="s">
        <v>1185</v>
      </c>
      <c r="M35" s="92" t="s">
        <v>2519</v>
      </c>
    </row>
    <row r="36" spans="1:13" ht="40.200000000000003" customHeight="1" x14ac:dyDescent="0.25">
      <c r="D36" s="92" t="s">
        <v>2369</v>
      </c>
      <c r="I36" s="92" t="s">
        <v>1693</v>
      </c>
      <c r="K36" s="92" t="s">
        <v>1186</v>
      </c>
      <c r="M36" s="92" t="s">
        <v>2520</v>
      </c>
    </row>
    <row r="37" spans="1:13" ht="40.200000000000003" customHeight="1" x14ac:dyDescent="0.25">
      <c r="D37" s="92" t="s">
        <v>2056</v>
      </c>
      <c r="I37" s="92" t="s">
        <v>1694</v>
      </c>
      <c r="K37" s="92" t="s">
        <v>1187</v>
      </c>
      <c r="M37" s="92" t="s">
        <v>2523</v>
      </c>
    </row>
    <row r="38" spans="1:13" ht="40.200000000000003" customHeight="1" x14ac:dyDescent="0.25">
      <c r="D38" s="92" t="s">
        <v>2371</v>
      </c>
      <c r="I38" s="92" t="s">
        <v>1695</v>
      </c>
      <c r="K38" s="92" t="s">
        <v>1188</v>
      </c>
      <c r="M38" s="92" t="s">
        <v>2524</v>
      </c>
    </row>
    <row r="39" spans="1:13" ht="40.200000000000003" customHeight="1" x14ac:dyDescent="0.25">
      <c r="D39" s="92" t="s">
        <v>2058</v>
      </c>
      <c r="I39" s="92" t="s">
        <v>1696</v>
      </c>
      <c r="K39" s="92" t="s">
        <v>1189</v>
      </c>
      <c r="M39" s="92" t="s">
        <v>2525</v>
      </c>
    </row>
    <row r="40" spans="1:13" ht="40.200000000000003" customHeight="1" x14ac:dyDescent="0.25">
      <c r="D40" s="92" t="s">
        <v>2059</v>
      </c>
      <c r="I40" s="92" t="s">
        <v>1697</v>
      </c>
      <c r="K40" s="92" t="s">
        <v>1190</v>
      </c>
      <c r="M40" s="92" t="s">
        <v>2526</v>
      </c>
    </row>
    <row r="41" spans="1:13" ht="40.200000000000003" customHeight="1" x14ac:dyDescent="0.25">
      <c r="D41" s="92" t="s">
        <v>2060</v>
      </c>
      <c r="I41" s="92" t="s">
        <v>1698</v>
      </c>
      <c r="K41" s="92" t="s">
        <v>1191</v>
      </c>
      <c r="M41" s="92" t="s">
        <v>2527</v>
      </c>
    </row>
    <row r="42" spans="1:13" ht="40.200000000000003" customHeight="1" x14ac:dyDescent="0.25">
      <c r="D42" s="92" t="s">
        <v>2063</v>
      </c>
      <c r="I42" s="92" t="s">
        <v>1699</v>
      </c>
      <c r="K42" s="92" t="s">
        <v>1193</v>
      </c>
      <c r="M42" s="92" t="s">
        <v>2528</v>
      </c>
    </row>
    <row r="43" spans="1:13" ht="40.200000000000003" customHeight="1" x14ac:dyDescent="0.25">
      <c r="D43" s="92" t="s">
        <v>2064</v>
      </c>
      <c r="I43" s="92" t="s">
        <v>1700</v>
      </c>
      <c r="K43" s="92" t="s">
        <v>2091</v>
      </c>
      <c r="M43" s="92" t="s">
        <v>2529</v>
      </c>
    </row>
    <row r="44" spans="1:13" ht="40.200000000000003" customHeight="1" x14ac:dyDescent="0.25">
      <c r="D44" s="92" t="s">
        <v>2379</v>
      </c>
      <c r="I44" s="92" t="s">
        <v>1701</v>
      </c>
      <c r="K44" s="92" t="s">
        <v>2092</v>
      </c>
      <c r="M44" s="92" t="s">
        <v>2530</v>
      </c>
    </row>
    <row r="45" spans="1:13" ht="40.200000000000003" customHeight="1" x14ac:dyDescent="0.25">
      <c r="D45" s="92" t="s">
        <v>2385</v>
      </c>
      <c r="I45" s="92" t="s">
        <v>1702</v>
      </c>
      <c r="K45" s="92" t="s">
        <v>2093</v>
      </c>
      <c r="M45" s="92" t="s">
        <v>2531</v>
      </c>
    </row>
    <row r="46" spans="1:13" ht="40.200000000000003" customHeight="1" x14ac:dyDescent="0.25">
      <c r="I46" s="92" t="s">
        <v>1703</v>
      </c>
      <c r="K46" s="92" t="s">
        <v>427</v>
      </c>
      <c r="M46" s="92" t="s">
        <v>2532</v>
      </c>
    </row>
    <row r="47" spans="1:13" ht="40.200000000000003" customHeight="1" x14ac:dyDescent="0.25">
      <c r="I47" s="92" t="s">
        <v>1704</v>
      </c>
      <c r="K47" s="92" t="s">
        <v>1195</v>
      </c>
      <c r="M47" s="92" t="s">
        <v>2533</v>
      </c>
    </row>
    <row r="48" spans="1:13" ht="40.200000000000003" customHeight="1" x14ac:dyDescent="0.25">
      <c r="I48" s="92" t="s">
        <v>1705</v>
      </c>
      <c r="K48" s="92" t="s">
        <v>1196</v>
      </c>
      <c r="M48" s="92" t="s">
        <v>2534</v>
      </c>
    </row>
    <row r="49" spans="9:13" ht="40.200000000000003" customHeight="1" x14ac:dyDescent="0.25">
      <c r="I49" s="92" t="s">
        <v>1706</v>
      </c>
      <c r="K49" s="92" t="s">
        <v>1197</v>
      </c>
      <c r="M49" s="92" t="s">
        <v>2538</v>
      </c>
    </row>
    <row r="50" spans="9:13" ht="40.200000000000003" customHeight="1" x14ac:dyDescent="0.25">
      <c r="I50" s="92" t="s">
        <v>1707</v>
      </c>
      <c r="K50" s="92" t="s">
        <v>1572</v>
      </c>
    </row>
    <row r="51" spans="9:13" ht="40.200000000000003" customHeight="1" x14ac:dyDescent="0.25">
      <c r="I51" s="92" t="s">
        <v>1708</v>
      </c>
      <c r="K51" s="92" t="s">
        <v>2094</v>
      </c>
    </row>
    <row r="52" spans="9:13" ht="40.200000000000003" customHeight="1" x14ac:dyDescent="0.25">
      <c r="I52" s="92" t="s">
        <v>1709</v>
      </c>
      <c r="K52" s="92" t="s">
        <v>2095</v>
      </c>
    </row>
    <row r="53" spans="9:13" ht="40.200000000000003" customHeight="1" x14ac:dyDescent="0.25">
      <c r="I53" s="92" t="s">
        <v>1710</v>
      </c>
      <c r="K53" s="92" t="s">
        <v>1573</v>
      </c>
    </row>
    <row r="54" spans="9:13" ht="40.200000000000003" customHeight="1" x14ac:dyDescent="0.25">
      <c r="I54" s="92" t="s">
        <v>1711</v>
      </c>
      <c r="K54" s="92" t="s">
        <v>1202</v>
      </c>
    </row>
    <row r="55" spans="9:13" ht="40.200000000000003" customHeight="1" x14ac:dyDescent="0.25">
      <c r="I55" s="92" t="s">
        <v>1712</v>
      </c>
      <c r="K55" s="92" t="s">
        <v>2096</v>
      </c>
    </row>
    <row r="56" spans="9:13" ht="40.200000000000003" customHeight="1" x14ac:dyDescent="0.25">
      <c r="I56" s="92" t="s">
        <v>1713</v>
      </c>
      <c r="K56" s="92" t="s">
        <v>1203</v>
      </c>
    </row>
    <row r="57" spans="9:13" ht="40.200000000000003" customHeight="1" x14ac:dyDescent="0.25">
      <c r="I57" s="92" t="s">
        <v>1714</v>
      </c>
      <c r="K57" s="92" t="s">
        <v>1204</v>
      </c>
    </row>
    <row r="58" spans="9:13" ht="40.200000000000003" customHeight="1" x14ac:dyDescent="0.25">
      <c r="I58" s="92" t="s">
        <v>1715</v>
      </c>
      <c r="K58" s="92" t="s">
        <v>1205</v>
      </c>
    </row>
    <row r="59" spans="9:13" ht="40.200000000000003" customHeight="1" x14ac:dyDescent="0.25">
      <c r="I59" s="92" t="s">
        <v>1716</v>
      </c>
      <c r="K59" s="92" t="s">
        <v>1206</v>
      </c>
    </row>
    <row r="60" spans="9:13" ht="40.200000000000003" customHeight="1" x14ac:dyDescent="0.25">
      <c r="I60" s="92" t="s">
        <v>1717</v>
      </c>
      <c r="K60" s="92" t="s">
        <v>1207</v>
      </c>
    </row>
    <row r="61" spans="9:13" ht="40.200000000000003" customHeight="1" x14ac:dyDescent="0.25">
      <c r="I61" s="92" t="s">
        <v>1718</v>
      </c>
      <c r="K61" s="92" t="s">
        <v>1208</v>
      </c>
    </row>
    <row r="62" spans="9:13" ht="40.200000000000003" customHeight="1" x14ac:dyDescent="0.25">
      <c r="I62" s="92" t="s">
        <v>1719</v>
      </c>
      <c r="K62" s="92" t="s">
        <v>1209</v>
      </c>
    </row>
    <row r="63" spans="9:13" ht="40.200000000000003" customHeight="1" x14ac:dyDescent="0.25">
      <c r="I63" s="92" t="s">
        <v>1720</v>
      </c>
      <c r="K63" s="92" t="s">
        <v>1210</v>
      </c>
    </row>
    <row r="64" spans="9:13" ht="40.200000000000003" customHeight="1" x14ac:dyDescent="0.25">
      <c r="I64" s="92" t="s">
        <v>1721</v>
      </c>
      <c r="K64" s="141" t="s">
        <v>2463</v>
      </c>
    </row>
    <row r="65" spans="9:11" ht="40.200000000000003" customHeight="1" x14ac:dyDescent="0.25">
      <c r="I65" s="92" t="s">
        <v>1722</v>
      </c>
      <c r="K65" s="141" t="s">
        <v>2464</v>
      </c>
    </row>
    <row r="66" spans="9:11" ht="40.200000000000003" customHeight="1" x14ac:dyDescent="0.25">
      <c r="I66" s="92" t="s">
        <v>1723</v>
      </c>
      <c r="K66" s="92" t="s">
        <v>2097</v>
      </c>
    </row>
    <row r="67" spans="9:11" ht="40.200000000000003" customHeight="1" x14ac:dyDescent="0.25">
      <c r="I67" s="92" t="s">
        <v>1724</v>
      </c>
      <c r="K67" s="92" t="s">
        <v>1233</v>
      </c>
    </row>
    <row r="68" spans="9:11" ht="40.200000000000003" customHeight="1" x14ac:dyDescent="0.25">
      <c r="I68" s="92" t="s">
        <v>1725</v>
      </c>
      <c r="K68" s="92" t="s">
        <v>1577</v>
      </c>
    </row>
    <row r="69" spans="9:11" ht="40.200000000000003" customHeight="1" x14ac:dyDescent="0.25">
      <c r="I69" s="92" t="s">
        <v>1726</v>
      </c>
      <c r="K69" s="92" t="s">
        <v>1578</v>
      </c>
    </row>
    <row r="70" spans="9:11" ht="40.200000000000003" customHeight="1" x14ac:dyDescent="0.25">
      <c r="I70" s="92" t="s">
        <v>1727</v>
      </c>
      <c r="K70" s="92" t="s">
        <v>1579</v>
      </c>
    </row>
    <row r="71" spans="9:11" ht="40.200000000000003" customHeight="1" x14ac:dyDescent="0.25">
      <c r="I71" s="92" t="s">
        <v>1728</v>
      </c>
      <c r="K71" s="92" t="s">
        <v>1580</v>
      </c>
    </row>
    <row r="72" spans="9:11" ht="40.200000000000003" customHeight="1" x14ac:dyDescent="0.25">
      <c r="I72" s="92" t="s">
        <v>1729</v>
      </c>
      <c r="K72" s="92" t="s">
        <v>1581</v>
      </c>
    </row>
    <row r="73" spans="9:11" ht="40.200000000000003" customHeight="1" x14ac:dyDescent="0.25">
      <c r="I73" s="92" t="s">
        <v>1730</v>
      </c>
      <c r="K73" s="141" t="s">
        <v>2469</v>
      </c>
    </row>
    <row r="74" spans="9:11" ht="40.200000000000003" customHeight="1" x14ac:dyDescent="0.25">
      <c r="I74" s="92" t="s">
        <v>2067</v>
      </c>
      <c r="K74" s="141" t="s">
        <v>2470</v>
      </c>
    </row>
    <row r="75" spans="9:11" ht="40.200000000000003" customHeight="1" x14ac:dyDescent="0.25">
      <c r="I75" s="92" t="s">
        <v>1731</v>
      </c>
      <c r="K75" s="92" t="s">
        <v>1582</v>
      </c>
    </row>
    <row r="76" spans="9:11" ht="40.200000000000003" customHeight="1" x14ac:dyDescent="0.25">
      <c r="I76" s="92" t="s">
        <v>1510</v>
      </c>
      <c r="K76" s="92" t="s">
        <v>1583</v>
      </c>
    </row>
    <row r="77" spans="9:11" ht="40.200000000000003" customHeight="1" x14ac:dyDescent="0.25">
      <c r="I77" s="92" t="s">
        <v>1511</v>
      </c>
      <c r="K77" s="92" t="s">
        <v>1584</v>
      </c>
    </row>
    <row r="78" spans="9:11" ht="40.200000000000003" customHeight="1" x14ac:dyDescent="0.25">
      <c r="I78" s="92" t="s">
        <v>2068</v>
      </c>
      <c r="K78" s="92" t="s">
        <v>1585</v>
      </c>
    </row>
    <row r="79" spans="9:11" ht="40.200000000000003" customHeight="1" x14ac:dyDescent="0.25">
      <c r="I79" s="92" t="s">
        <v>1732</v>
      </c>
      <c r="K79" s="92" t="s">
        <v>1586</v>
      </c>
    </row>
    <row r="80" spans="9:11" ht="40.200000000000003" customHeight="1" x14ac:dyDescent="0.25">
      <c r="I80" s="141" t="s">
        <v>1143</v>
      </c>
      <c r="K80" s="92" t="s">
        <v>1587</v>
      </c>
    </row>
    <row r="81" spans="9:11" ht="40.200000000000003" customHeight="1" x14ac:dyDescent="0.25">
      <c r="I81" s="141" t="s">
        <v>1145</v>
      </c>
      <c r="K81" s="92" t="s">
        <v>1588</v>
      </c>
    </row>
    <row r="82" spans="9:11" ht="40.200000000000003" customHeight="1" x14ac:dyDescent="0.25">
      <c r="I82" s="92" t="s">
        <v>1146</v>
      </c>
      <c r="K82" s="92" t="s">
        <v>1589</v>
      </c>
    </row>
    <row r="83" spans="9:11" ht="40.200000000000003" customHeight="1" x14ac:dyDescent="0.25">
      <c r="I83" s="92" t="s">
        <v>1733</v>
      </c>
      <c r="K83" s="92" t="s">
        <v>1590</v>
      </c>
    </row>
    <row r="84" spans="9:11" ht="40.200000000000003" customHeight="1" x14ac:dyDescent="0.25">
      <c r="I84" s="92" t="s">
        <v>1734</v>
      </c>
      <c r="K84" s="92" t="s">
        <v>1591</v>
      </c>
    </row>
    <row r="85" spans="9:11" ht="40.200000000000003" customHeight="1" x14ac:dyDescent="0.25">
      <c r="I85" s="92" t="s">
        <v>1735</v>
      </c>
      <c r="K85" s="92" t="s">
        <v>1592</v>
      </c>
    </row>
    <row r="86" spans="9:11" ht="40.200000000000003" customHeight="1" x14ac:dyDescent="0.25">
      <c r="I86" s="92" t="s">
        <v>1920</v>
      </c>
      <c r="K86" s="92" t="s">
        <v>1593</v>
      </c>
    </row>
    <row r="87" spans="9:11" ht="40.200000000000003" customHeight="1" x14ac:dyDescent="0.25">
      <c r="I87" s="92" t="s">
        <v>1736</v>
      </c>
      <c r="K87" s="92" t="s">
        <v>1594</v>
      </c>
    </row>
    <row r="88" spans="9:11" ht="40.200000000000003" customHeight="1" x14ac:dyDescent="0.25">
      <c r="I88" s="92" t="s">
        <v>1921</v>
      </c>
      <c r="K88" s="92" t="s">
        <v>1595</v>
      </c>
    </row>
    <row r="89" spans="9:11" ht="40.200000000000003" customHeight="1" x14ac:dyDescent="0.25">
      <c r="I89" s="92" t="s">
        <v>1737</v>
      </c>
      <c r="K89" s="92" t="s">
        <v>2099</v>
      </c>
    </row>
    <row r="90" spans="9:11" ht="40.200000000000003" customHeight="1" x14ac:dyDescent="0.25">
      <c r="I90" s="92" t="s">
        <v>1738</v>
      </c>
      <c r="K90" s="92" t="s">
        <v>1596</v>
      </c>
    </row>
    <row r="91" spans="9:11" ht="40.200000000000003" customHeight="1" x14ac:dyDescent="0.25">
      <c r="I91" s="92" t="s">
        <v>1739</v>
      </c>
      <c r="K91" s="92" t="s">
        <v>1597</v>
      </c>
    </row>
    <row r="92" spans="9:11" ht="40.200000000000003" customHeight="1" x14ac:dyDescent="0.25">
      <c r="I92" s="92" t="s">
        <v>1740</v>
      </c>
      <c r="K92" s="92" t="s">
        <v>2471</v>
      </c>
    </row>
    <row r="93" spans="9:11" ht="40.200000000000003" customHeight="1" x14ac:dyDescent="0.25">
      <c r="I93" s="92" t="s">
        <v>1741</v>
      </c>
      <c r="K93" s="92" t="s">
        <v>2472</v>
      </c>
    </row>
    <row r="94" spans="9:11" ht="40.200000000000003" customHeight="1" x14ac:dyDescent="0.25">
      <c r="I94" s="92" t="s">
        <v>1742</v>
      </c>
      <c r="K94" s="92" t="s">
        <v>2473</v>
      </c>
    </row>
    <row r="95" spans="9:11" ht="40.200000000000003" customHeight="1" x14ac:dyDescent="0.25">
      <c r="I95" s="92" t="s">
        <v>1922</v>
      </c>
      <c r="K95" s="92" t="s">
        <v>1763</v>
      </c>
    </row>
    <row r="96" spans="9:11" ht="40.200000000000003" customHeight="1" x14ac:dyDescent="0.25">
      <c r="I96" s="92" t="s">
        <v>1743</v>
      </c>
      <c r="K96" s="92" t="s">
        <v>1764</v>
      </c>
    </row>
    <row r="97" spans="9:11" ht="40.200000000000003" customHeight="1" x14ac:dyDescent="0.25">
      <c r="I97" s="92" t="s">
        <v>1744</v>
      </c>
      <c r="K97" s="92" t="s">
        <v>2474</v>
      </c>
    </row>
    <row r="98" spans="9:11" ht="40.200000000000003" customHeight="1" x14ac:dyDescent="0.25">
      <c r="I98" s="92" t="s">
        <v>1923</v>
      </c>
      <c r="K98" s="92" t="s">
        <v>2476</v>
      </c>
    </row>
    <row r="99" spans="9:11" ht="40.200000000000003" customHeight="1" x14ac:dyDescent="0.25">
      <c r="I99" s="92" t="s">
        <v>1924</v>
      </c>
      <c r="K99" s="92" t="s">
        <v>2477</v>
      </c>
    </row>
    <row r="100" spans="9:11" ht="40.200000000000003" customHeight="1" x14ac:dyDescent="0.25">
      <c r="I100" s="92" t="s">
        <v>1745</v>
      </c>
      <c r="K100" s="92" t="s">
        <v>2100</v>
      </c>
    </row>
    <row r="101" spans="9:11" ht="40.200000000000003" customHeight="1" x14ac:dyDescent="0.25">
      <c r="I101" s="92" t="s">
        <v>1746</v>
      </c>
      <c r="K101" s="92" t="s">
        <v>2101</v>
      </c>
    </row>
    <row r="102" spans="9:11" ht="40.200000000000003" customHeight="1" x14ac:dyDescent="0.25">
      <c r="I102" s="92" t="s">
        <v>1747</v>
      </c>
      <c r="K102" s="92" t="s">
        <v>2102</v>
      </c>
    </row>
    <row r="103" spans="9:11" ht="40.200000000000003" customHeight="1" x14ac:dyDescent="0.25">
      <c r="I103" s="92" t="s">
        <v>1748</v>
      </c>
      <c r="K103" s="92" t="s">
        <v>2103</v>
      </c>
    </row>
    <row r="104" spans="9:11" ht="40.200000000000003" customHeight="1" x14ac:dyDescent="0.25">
      <c r="I104" s="92" t="s">
        <v>1925</v>
      </c>
      <c r="K104" s="92" t="s">
        <v>1976</v>
      </c>
    </row>
    <row r="105" spans="9:11" ht="40.200000000000003" customHeight="1" x14ac:dyDescent="0.25">
      <c r="I105" s="92" t="s">
        <v>1749</v>
      </c>
      <c r="K105" s="92" t="s">
        <v>1977</v>
      </c>
    </row>
    <row r="106" spans="9:11" ht="40.200000000000003" customHeight="1" x14ac:dyDescent="0.25">
      <c r="I106" s="92" t="s">
        <v>1926</v>
      </c>
      <c r="K106" s="92" t="s">
        <v>1978</v>
      </c>
    </row>
    <row r="107" spans="9:11" ht="40.200000000000003" customHeight="1" x14ac:dyDescent="0.25">
      <c r="I107" s="92" t="s">
        <v>1750</v>
      </c>
      <c r="K107" s="92" t="s">
        <v>1979</v>
      </c>
    </row>
    <row r="108" spans="9:11" ht="40.200000000000003" customHeight="1" x14ac:dyDescent="0.25">
      <c r="I108" s="92" t="s">
        <v>1751</v>
      </c>
      <c r="K108" s="92" t="s">
        <v>1980</v>
      </c>
    </row>
    <row r="109" spans="9:11" ht="40.200000000000003" customHeight="1" x14ac:dyDescent="0.25">
      <c r="I109" s="92" t="s">
        <v>1752</v>
      </c>
      <c r="K109" s="92" t="s">
        <v>2487</v>
      </c>
    </row>
    <row r="110" spans="9:11" ht="40.200000000000003" customHeight="1" x14ac:dyDescent="0.25">
      <c r="I110" s="92" t="s">
        <v>2069</v>
      </c>
      <c r="K110" s="92" t="s">
        <v>2104</v>
      </c>
    </row>
    <row r="111" spans="9:11" ht="40.200000000000003" customHeight="1" x14ac:dyDescent="0.25">
      <c r="I111" s="92" t="s">
        <v>2399</v>
      </c>
      <c r="K111" s="92" t="s">
        <v>2488</v>
      </c>
    </row>
    <row r="112" spans="9:11" ht="40.200000000000003" customHeight="1" x14ac:dyDescent="0.25">
      <c r="I112" s="92" t="s">
        <v>2400</v>
      </c>
      <c r="K112" s="141" t="s">
        <v>2490</v>
      </c>
    </row>
    <row r="113" spans="9:11" ht="40.200000000000003" customHeight="1" x14ac:dyDescent="0.25">
      <c r="I113" s="92" t="s">
        <v>2402</v>
      </c>
      <c r="K113" s="141" t="s">
        <v>2107</v>
      </c>
    </row>
    <row r="114" spans="9:11" ht="40.200000000000003" customHeight="1" x14ac:dyDescent="0.25">
      <c r="I114" s="92" t="s">
        <v>1232</v>
      </c>
      <c r="K114" s="92" t="s">
        <v>2492</v>
      </c>
    </row>
    <row r="115" spans="9:11" ht="40.200000000000003" customHeight="1" x14ac:dyDescent="0.25">
      <c r="I115" s="92" t="s">
        <v>1512</v>
      </c>
      <c r="K115" s="92" t="s">
        <v>2493</v>
      </c>
    </row>
    <row r="116" spans="9:11" ht="40.200000000000003" customHeight="1" x14ac:dyDescent="0.25">
      <c r="I116" s="92" t="s">
        <v>1513</v>
      </c>
      <c r="K116" s="92" t="s">
        <v>2494</v>
      </c>
    </row>
    <row r="117" spans="9:11" ht="40.200000000000003" customHeight="1" x14ac:dyDescent="0.25">
      <c r="I117" s="92" t="s">
        <v>1514</v>
      </c>
      <c r="K117" s="92" t="s">
        <v>2495</v>
      </c>
    </row>
    <row r="118" spans="9:11" ht="40.200000000000003" customHeight="1" x14ac:dyDescent="0.25">
      <c r="I118" s="92" t="s">
        <v>1515</v>
      </c>
      <c r="K118" s="141" t="s">
        <v>2497</v>
      </c>
    </row>
    <row r="119" spans="9:11" ht="40.200000000000003" customHeight="1" x14ac:dyDescent="0.25">
      <c r="I119" s="92" t="s">
        <v>1516</v>
      </c>
      <c r="K119" s="92" t="s">
        <v>2499</v>
      </c>
    </row>
    <row r="120" spans="9:11" ht="40.200000000000003" customHeight="1" x14ac:dyDescent="0.25">
      <c r="I120" s="92" t="s">
        <v>1517</v>
      </c>
      <c r="K120" s="92" t="s">
        <v>2500</v>
      </c>
    </row>
    <row r="121" spans="9:11" ht="40.200000000000003" customHeight="1" x14ac:dyDescent="0.25">
      <c r="I121" s="92" t="s">
        <v>1518</v>
      </c>
      <c r="K121" s="92" t="s">
        <v>2501</v>
      </c>
    </row>
    <row r="122" spans="9:11" ht="40.200000000000003" customHeight="1" x14ac:dyDescent="0.25">
      <c r="I122" s="92" t="s">
        <v>1519</v>
      </c>
      <c r="K122" s="92" t="s">
        <v>2502</v>
      </c>
    </row>
    <row r="123" spans="9:11" ht="40.200000000000003" customHeight="1" x14ac:dyDescent="0.25">
      <c r="I123" s="92" t="s">
        <v>1520</v>
      </c>
      <c r="K123" s="92" t="s">
        <v>2503</v>
      </c>
    </row>
    <row r="124" spans="9:11" ht="40.200000000000003" customHeight="1" x14ac:dyDescent="0.25">
      <c r="I124" s="92" t="s">
        <v>2403</v>
      </c>
      <c r="K124" s="92" t="s">
        <v>2504</v>
      </c>
    </row>
    <row r="125" spans="9:11" ht="40.200000000000003" customHeight="1" x14ac:dyDescent="0.25">
      <c r="I125" s="92" t="s">
        <v>1522</v>
      </c>
      <c r="K125" s="92" t="s">
        <v>2505</v>
      </c>
    </row>
    <row r="126" spans="9:11" ht="40.200000000000003" customHeight="1" x14ac:dyDescent="0.25">
      <c r="I126" s="92" t="s">
        <v>1523</v>
      </c>
      <c r="K126" s="92" t="s">
        <v>2506</v>
      </c>
    </row>
    <row r="127" spans="9:11" ht="40.200000000000003" customHeight="1" x14ac:dyDescent="0.25">
      <c r="I127" s="92" t="s">
        <v>1524</v>
      </c>
      <c r="K127" s="92" t="s">
        <v>2507</v>
      </c>
    </row>
    <row r="128" spans="9:11" ht="40.200000000000003" customHeight="1" x14ac:dyDescent="0.25">
      <c r="I128" s="92" t="s">
        <v>1525</v>
      </c>
      <c r="K128" s="92" t="s">
        <v>2508</v>
      </c>
    </row>
    <row r="129" spans="9:11" ht="40.200000000000003" customHeight="1" x14ac:dyDescent="0.25">
      <c r="I129" s="92" t="s">
        <v>1526</v>
      </c>
      <c r="K129" s="92" t="s">
        <v>2509</v>
      </c>
    </row>
    <row r="130" spans="9:11" ht="40.200000000000003" customHeight="1" x14ac:dyDescent="0.25">
      <c r="I130" s="92" t="s">
        <v>1527</v>
      </c>
      <c r="K130" s="92" t="s">
        <v>2510</v>
      </c>
    </row>
    <row r="131" spans="9:11" ht="40.200000000000003" customHeight="1" x14ac:dyDescent="0.25">
      <c r="I131" s="92" t="s">
        <v>1528</v>
      </c>
      <c r="K131" s="92" t="s">
        <v>2511</v>
      </c>
    </row>
    <row r="132" spans="9:11" ht="40.200000000000003" customHeight="1" x14ac:dyDescent="0.25">
      <c r="I132" s="92" t="s">
        <v>1529</v>
      </c>
      <c r="K132" s="92" t="s">
        <v>2512</v>
      </c>
    </row>
    <row r="133" spans="9:11" ht="40.200000000000003" customHeight="1" x14ac:dyDescent="0.25">
      <c r="I133" s="92" t="s">
        <v>1530</v>
      </c>
      <c r="K133" s="92" t="s">
        <v>2513</v>
      </c>
    </row>
    <row r="134" spans="9:11" ht="40.200000000000003" customHeight="1" x14ac:dyDescent="0.25">
      <c r="I134" s="92" t="s">
        <v>1531</v>
      </c>
      <c r="K134" s="92" t="s">
        <v>2514</v>
      </c>
    </row>
    <row r="135" spans="9:11" ht="40.200000000000003" customHeight="1" x14ac:dyDescent="0.25">
      <c r="I135" s="92" t="s">
        <v>1532</v>
      </c>
      <c r="K135" s="92" t="s">
        <v>2515</v>
      </c>
    </row>
    <row r="136" spans="9:11" ht="40.200000000000003" customHeight="1" x14ac:dyDescent="0.25">
      <c r="I136" s="92" t="s">
        <v>1533</v>
      </c>
      <c r="K136" s="92" t="s">
        <v>2516</v>
      </c>
    </row>
    <row r="137" spans="9:11" ht="40.200000000000003" customHeight="1" x14ac:dyDescent="0.25">
      <c r="I137" s="141" t="s">
        <v>1928</v>
      </c>
      <c r="K137" s="92" t="s">
        <v>2517</v>
      </c>
    </row>
    <row r="138" spans="9:11" ht="40.200000000000003" customHeight="1" x14ac:dyDescent="0.25">
      <c r="I138" s="92" t="s">
        <v>1534</v>
      </c>
      <c r="K138" s="92" t="s">
        <v>2518</v>
      </c>
    </row>
    <row r="139" spans="9:11" ht="40.200000000000003" customHeight="1" x14ac:dyDescent="0.25">
      <c r="I139" s="92" t="s">
        <v>1535</v>
      </c>
      <c r="K139" s="92" t="s">
        <v>2521</v>
      </c>
    </row>
    <row r="140" spans="9:11" ht="40.200000000000003" customHeight="1" x14ac:dyDescent="0.25">
      <c r="I140" s="92" t="s">
        <v>1536</v>
      </c>
      <c r="K140" s="92" t="s">
        <v>2522</v>
      </c>
    </row>
    <row r="141" spans="9:11" ht="40.200000000000003" customHeight="1" x14ac:dyDescent="0.25">
      <c r="I141" s="92" t="s">
        <v>1537</v>
      </c>
      <c r="K141" s="92" t="s">
        <v>2535</v>
      </c>
    </row>
    <row r="142" spans="9:11" ht="40.200000000000003" customHeight="1" x14ac:dyDescent="0.25">
      <c r="I142" s="92" t="s">
        <v>1538</v>
      </c>
      <c r="K142" s="92" t="s">
        <v>2536</v>
      </c>
    </row>
    <row r="143" spans="9:11" ht="40.200000000000003" customHeight="1" x14ac:dyDescent="0.25">
      <c r="I143" s="92" t="s">
        <v>1539</v>
      </c>
      <c r="K143" s="92" t="s">
        <v>2537</v>
      </c>
    </row>
    <row r="144" spans="9:11" ht="40.200000000000003" customHeight="1" x14ac:dyDescent="0.25">
      <c r="I144" s="92" t="s">
        <v>1540</v>
      </c>
      <c r="K144" s="92" t="s">
        <v>2539</v>
      </c>
    </row>
    <row r="145" spans="9:11" ht="40.200000000000003" customHeight="1" x14ac:dyDescent="0.25">
      <c r="I145" s="92" t="s">
        <v>1541</v>
      </c>
      <c r="K145" s="92" t="s">
        <v>2540</v>
      </c>
    </row>
    <row r="146" spans="9:11" ht="40.200000000000003" customHeight="1" x14ac:dyDescent="0.25">
      <c r="I146" s="92" t="s">
        <v>1542</v>
      </c>
      <c r="K146" s="92" t="s">
        <v>2541</v>
      </c>
    </row>
    <row r="147" spans="9:11" ht="40.200000000000003" customHeight="1" x14ac:dyDescent="0.25">
      <c r="I147" s="92" t="s">
        <v>1543</v>
      </c>
      <c r="K147" s="92" t="s">
        <v>2542</v>
      </c>
    </row>
    <row r="148" spans="9:11" ht="40.200000000000003" customHeight="1" x14ac:dyDescent="0.25">
      <c r="I148" s="92" t="s">
        <v>1544</v>
      </c>
      <c r="K148" s="92" t="s">
        <v>2543</v>
      </c>
    </row>
    <row r="149" spans="9:11" ht="40.200000000000003" customHeight="1" x14ac:dyDescent="0.25">
      <c r="I149" s="92" t="s">
        <v>1545</v>
      </c>
      <c r="K149" s="92" t="s">
        <v>2544</v>
      </c>
    </row>
    <row r="150" spans="9:11" ht="40.200000000000003" customHeight="1" x14ac:dyDescent="0.25">
      <c r="I150" s="92" t="s">
        <v>1546</v>
      </c>
    </row>
    <row r="151" spans="9:11" ht="40.200000000000003" customHeight="1" x14ac:dyDescent="0.25">
      <c r="I151" s="92" t="s">
        <v>1547</v>
      </c>
    </row>
    <row r="152" spans="9:11" ht="40.200000000000003" customHeight="1" x14ac:dyDescent="0.25">
      <c r="I152" s="92" t="s">
        <v>1548</v>
      </c>
    </row>
    <row r="153" spans="9:11" ht="40.200000000000003" customHeight="1" x14ac:dyDescent="0.25">
      <c r="I153" s="92" t="s">
        <v>1549</v>
      </c>
    </row>
    <row r="154" spans="9:11" ht="40.200000000000003" customHeight="1" x14ac:dyDescent="0.25">
      <c r="I154" s="92" t="s">
        <v>1550</v>
      </c>
    </row>
    <row r="155" spans="9:11" ht="40.200000000000003" customHeight="1" x14ac:dyDescent="0.25">
      <c r="I155" s="92" t="s">
        <v>1551</v>
      </c>
    </row>
    <row r="156" spans="9:11" ht="40.200000000000003" customHeight="1" x14ac:dyDescent="0.25">
      <c r="I156" s="92" t="s">
        <v>1552</v>
      </c>
    </row>
    <row r="157" spans="9:11" ht="40.200000000000003" customHeight="1" x14ac:dyDescent="0.25">
      <c r="I157" s="92" t="s">
        <v>1553</v>
      </c>
    </row>
    <row r="158" spans="9:11" ht="40.200000000000003" customHeight="1" x14ac:dyDescent="0.25">
      <c r="I158" s="92" t="s">
        <v>1554</v>
      </c>
    </row>
    <row r="159" spans="9:11" ht="40.200000000000003" customHeight="1" x14ac:dyDescent="0.25">
      <c r="I159" s="92" t="s">
        <v>1555</v>
      </c>
    </row>
    <row r="160" spans="9:11" ht="40.200000000000003" customHeight="1" x14ac:dyDescent="0.25">
      <c r="I160" s="92" t="s">
        <v>1556</v>
      </c>
    </row>
    <row r="161" spans="9:9" ht="40.200000000000003" customHeight="1" x14ac:dyDescent="0.25">
      <c r="I161" s="92" t="s">
        <v>1557</v>
      </c>
    </row>
    <row r="162" spans="9:9" ht="40.200000000000003" customHeight="1" x14ac:dyDescent="0.25">
      <c r="I162" s="92" t="s">
        <v>1558</v>
      </c>
    </row>
    <row r="163" spans="9:9" ht="40.200000000000003" customHeight="1" x14ac:dyDescent="0.25">
      <c r="I163" s="92" t="s">
        <v>1559</v>
      </c>
    </row>
    <row r="164" spans="9:9" ht="40.200000000000003" customHeight="1" x14ac:dyDescent="0.25">
      <c r="I164" s="92" t="s">
        <v>1560</v>
      </c>
    </row>
    <row r="165" spans="9:9" ht="40.200000000000003" customHeight="1" x14ac:dyDescent="0.25">
      <c r="I165" s="92" t="s">
        <v>1561</v>
      </c>
    </row>
    <row r="166" spans="9:9" ht="40.200000000000003" customHeight="1" x14ac:dyDescent="0.25">
      <c r="I166" s="92" t="s">
        <v>1562</v>
      </c>
    </row>
    <row r="167" spans="9:9" ht="40.200000000000003" customHeight="1" x14ac:dyDescent="0.25">
      <c r="I167" s="92" t="s">
        <v>1563</v>
      </c>
    </row>
    <row r="168" spans="9:9" ht="40.200000000000003" customHeight="1" x14ac:dyDescent="0.25">
      <c r="I168" s="92" t="s">
        <v>1564</v>
      </c>
    </row>
    <row r="169" spans="9:9" ht="40.200000000000003" customHeight="1" x14ac:dyDescent="0.25">
      <c r="I169" s="92" t="s">
        <v>1565</v>
      </c>
    </row>
    <row r="170" spans="9:9" ht="40.200000000000003" customHeight="1" x14ac:dyDescent="0.25">
      <c r="I170" s="92" t="s">
        <v>1566</v>
      </c>
    </row>
    <row r="171" spans="9:9" ht="40.200000000000003" customHeight="1" x14ac:dyDescent="0.25">
      <c r="I171" s="92" t="s">
        <v>1567</v>
      </c>
    </row>
    <row r="172" spans="9:9" ht="40.200000000000003" customHeight="1" x14ac:dyDescent="0.25">
      <c r="I172" s="92" t="s">
        <v>1568</v>
      </c>
    </row>
    <row r="173" spans="9:9" ht="40.200000000000003" customHeight="1" x14ac:dyDescent="0.25">
      <c r="I173" s="92" t="s">
        <v>1569</v>
      </c>
    </row>
    <row r="174" spans="9:9" ht="40.200000000000003" customHeight="1" x14ac:dyDescent="0.25">
      <c r="I174" s="92" t="s">
        <v>2071</v>
      </c>
    </row>
    <row r="175" spans="9:9" ht="40.200000000000003" customHeight="1" x14ac:dyDescent="0.25">
      <c r="I175" s="92" t="s">
        <v>2405</v>
      </c>
    </row>
    <row r="176" spans="9:9" ht="40.200000000000003" customHeight="1" x14ac:dyDescent="0.25">
      <c r="I176" s="92" t="s">
        <v>2406</v>
      </c>
    </row>
    <row r="177" spans="9:9" ht="40.200000000000003" customHeight="1" x14ac:dyDescent="0.25">
      <c r="I177" s="92" t="s">
        <v>2407</v>
      </c>
    </row>
    <row r="178" spans="9:9" ht="40.200000000000003" customHeight="1" x14ac:dyDescent="0.25">
      <c r="I178" s="92" t="s">
        <v>2408</v>
      </c>
    </row>
    <row r="179" spans="9:9" ht="40.200000000000003" customHeight="1" x14ac:dyDescent="0.25">
      <c r="I179" s="92" t="s">
        <v>1753</v>
      </c>
    </row>
    <row r="180" spans="9:9" ht="40.200000000000003" customHeight="1" x14ac:dyDescent="0.25">
      <c r="I180" s="92" t="s">
        <v>1754</v>
      </c>
    </row>
    <row r="181" spans="9:9" ht="40.200000000000003" customHeight="1" x14ac:dyDescent="0.25">
      <c r="I181" s="92" t="s">
        <v>1755</v>
      </c>
    </row>
    <row r="182" spans="9:9" ht="40.200000000000003" customHeight="1" x14ac:dyDescent="0.25">
      <c r="I182" s="92" t="s">
        <v>1756</v>
      </c>
    </row>
    <row r="183" spans="9:9" ht="40.200000000000003" customHeight="1" x14ac:dyDescent="0.25">
      <c r="I183" s="92" t="s">
        <v>1757</v>
      </c>
    </row>
    <row r="184" spans="9:9" ht="40.200000000000003" customHeight="1" x14ac:dyDescent="0.25">
      <c r="I184" s="92" t="s">
        <v>1758</v>
      </c>
    </row>
    <row r="185" spans="9:9" ht="40.200000000000003" customHeight="1" x14ac:dyDescent="0.25">
      <c r="I185" s="92" t="s">
        <v>1931</v>
      </c>
    </row>
    <row r="186" spans="9:9" ht="40.200000000000003" customHeight="1" x14ac:dyDescent="0.25">
      <c r="I186" s="92" t="s">
        <v>1932</v>
      </c>
    </row>
    <row r="187" spans="9:9" ht="40.200000000000003" customHeight="1" x14ac:dyDescent="0.25">
      <c r="I187" s="92" t="s">
        <v>1933</v>
      </c>
    </row>
    <row r="188" spans="9:9" ht="40.200000000000003" customHeight="1" x14ac:dyDescent="0.25">
      <c r="I188" s="92" t="s">
        <v>1934</v>
      </c>
    </row>
    <row r="189" spans="9:9" ht="40.200000000000003" customHeight="1" x14ac:dyDescent="0.25">
      <c r="I189" s="92" t="s">
        <v>1935</v>
      </c>
    </row>
    <row r="190" spans="9:9" ht="40.200000000000003" customHeight="1" x14ac:dyDescent="0.25">
      <c r="I190" s="92" t="s">
        <v>1936</v>
      </c>
    </row>
    <row r="191" spans="9:9" ht="40.200000000000003" customHeight="1" x14ac:dyDescent="0.25">
      <c r="I191" s="92" t="s">
        <v>1937</v>
      </c>
    </row>
    <row r="192" spans="9:9" ht="40.200000000000003" customHeight="1" x14ac:dyDescent="0.25">
      <c r="I192" s="92" t="s">
        <v>1938</v>
      </c>
    </row>
    <row r="193" spans="9:9" ht="40.200000000000003" customHeight="1" x14ac:dyDescent="0.25">
      <c r="I193" s="92" t="s">
        <v>1939</v>
      </c>
    </row>
    <row r="194" spans="9:9" ht="40.200000000000003" customHeight="1" x14ac:dyDescent="0.25">
      <c r="I194" s="92" t="s">
        <v>1940</v>
      </c>
    </row>
    <row r="195" spans="9:9" ht="40.200000000000003" customHeight="1" x14ac:dyDescent="0.25">
      <c r="I195" s="92" t="s">
        <v>1941</v>
      </c>
    </row>
    <row r="196" spans="9:9" ht="40.200000000000003" customHeight="1" x14ac:dyDescent="0.25">
      <c r="I196" s="92" t="s">
        <v>1942</v>
      </c>
    </row>
    <row r="197" spans="9:9" ht="40.200000000000003" customHeight="1" x14ac:dyDescent="0.25">
      <c r="I197" s="92" t="s">
        <v>1943</v>
      </c>
    </row>
    <row r="198" spans="9:9" ht="40.200000000000003" customHeight="1" x14ac:dyDescent="0.25">
      <c r="I198" s="92" t="s">
        <v>1944</v>
      </c>
    </row>
    <row r="199" spans="9:9" ht="40.200000000000003" customHeight="1" x14ac:dyDescent="0.25">
      <c r="I199" s="92" t="s">
        <v>1945</v>
      </c>
    </row>
    <row r="200" spans="9:9" ht="40.200000000000003" customHeight="1" x14ac:dyDescent="0.25">
      <c r="I200" s="92" t="s">
        <v>1946</v>
      </c>
    </row>
    <row r="201" spans="9:9" ht="40.200000000000003" customHeight="1" x14ac:dyDescent="0.25">
      <c r="I201" s="92" t="s">
        <v>1947</v>
      </c>
    </row>
    <row r="202" spans="9:9" ht="40.200000000000003" customHeight="1" x14ac:dyDescent="0.25">
      <c r="I202" s="92" t="s">
        <v>1948</v>
      </c>
    </row>
    <row r="203" spans="9:9" ht="40.200000000000003" customHeight="1" x14ac:dyDescent="0.25">
      <c r="I203" s="92" t="s">
        <v>1949</v>
      </c>
    </row>
    <row r="204" spans="9:9" ht="40.200000000000003" customHeight="1" x14ac:dyDescent="0.25">
      <c r="I204" s="92" t="s">
        <v>1950</v>
      </c>
    </row>
    <row r="205" spans="9:9" ht="40.200000000000003" customHeight="1" x14ac:dyDescent="0.25">
      <c r="I205" s="92" t="s">
        <v>1951</v>
      </c>
    </row>
    <row r="206" spans="9:9" ht="40.200000000000003" customHeight="1" x14ac:dyDescent="0.25">
      <c r="I206" s="92" t="s">
        <v>1952</v>
      </c>
    </row>
    <row r="207" spans="9:9" ht="40.200000000000003" customHeight="1" x14ac:dyDescent="0.25">
      <c r="I207" s="92" t="s">
        <v>1953</v>
      </c>
    </row>
    <row r="208" spans="9:9" ht="40.200000000000003" customHeight="1" x14ac:dyDescent="0.25">
      <c r="I208" s="92" t="s">
        <v>1954</v>
      </c>
    </row>
    <row r="209" spans="9:9" ht="40.200000000000003" customHeight="1" x14ac:dyDescent="0.25">
      <c r="I209" s="92" t="s">
        <v>1955</v>
      </c>
    </row>
    <row r="210" spans="9:9" ht="40.200000000000003" customHeight="1" x14ac:dyDescent="0.25">
      <c r="I210" s="92" t="s">
        <v>1956</v>
      </c>
    </row>
    <row r="211" spans="9:9" ht="40.200000000000003" customHeight="1" x14ac:dyDescent="0.25">
      <c r="I211" s="92" t="s">
        <v>1957</v>
      </c>
    </row>
    <row r="212" spans="9:9" ht="40.200000000000003" customHeight="1" x14ac:dyDescent="0.25">
      <c r="I212" s="92" t="s">
        <v>1958</v>
      </c>
    </row>
    <row r="213" spans="9:9" ht="40.200000000000003" customHeight="1" x14ac:dyDescent="0.25">
      <c r="I213" s="92" t="s">
        <v>1959</v>
      </c>
    </row>
    <row r="214" spans="9:9" ht="40.200000000000003" customHeight="1" x14ac:dyDescent="0.25">
      <c r="I214" s="92" t="s">
        <v>1960</v>
      </c>
    </row>
    <row r="215" spans="9:9" ht="40.200000000000003" customHeight="1" x14ac:dyDescent="0.25">
      <c r="I215" s="92" t="s">
        <v>1961</v>
      </c>
    </row>
    <row r="216" spans="9:9" ht="40.200000000000003" customHeight="1" x14ac:dyDescent="0.25">
      <c r="I216" s="92" t="s">
        <v>1962</v>
      </c>
    </row>
    <row r="217" spans="9:9" ht="40.200000000000003" customHeight="1" x14ac:dyDescent="0.25">
      <c r="I217" s="92" t="s">
        <v>1963</v>
      </c>
    </row>
    <row r="218" spans="9:9" ht="40.200000000000003" customHeight="1" x14ac:dyDescent="0.25">
      <c r="I218" s="92" t="s">
        <v>1964</v>
      </c>
    </row>
    <row r="219" spans="9:9" ht="40.200000000000003" customHeight="1" x14ac:dyDescent="0.25">
      <c r="I219" s="92" t="s">
        <v>1965</v>
      </c>
    </row>
    <row r="220" spans="9:9" ht="40.200000000000003" customHeight="1" x14ac:dyDescent="0.25">
      <c r="I220" s="92" t="s">
        <v>1966</v>
      </c>
    </row>
    <row r="221" spans="9:9" ht="40.200000000000003" customHeight="1" x14ac:dyDescent="0.25">
      <c r="I221" s="92" t="s">
        <v>1967</v>
      </c>
    </row>
    <row r="222" spans="9:9" ht="40.200000000000003" customHeight="1" x14ac:dyDescent="0.25">
      <c r="I222" s="92" t="s">
        <v>1969</v>
      </c>
    </row>
    <row r="223" spans="9:9" ht="40.200000000000003" customHeight="1" x14ac:dyDescent="0.25">
      <c r="I223" s="92" t="s">
        <v>1970</v>
      </c>
    </row>
    <row r="224" spans="9:9" ht="40.200000000000003" customHeight="1" x14ac:dyDescent="0.25">
      <c r="I224" s="92" t="s">
        <v>1971</v>
      </c>
    </row>
    <row r="225" spans="9:9" ht="40.200000000000003" customHeight="1" x14ac:dyDescent="0.25">
      <c r="I225" s="145" t="s">
        <v>2075</v>
      </c>
    </row>
    <row r="226" spans="9:9" ht="40.200000000000003" customHeight="1" x14ac:dyDescent="0.25">
      <c r="I226" s="92" t="s">
        <v>2076</v>
      </c>
    </row>
    <row r="227" spans="9:9" ht="40.200000000000003" customHeight="1" x14ac:dyDescent="0.25">
      <c r="I227" s="92" t="s">
        <v>2077</v>
      </c>
    </row>
    <row r="228" spans="9:9" ht="40.200000000000003" customHeight="1" x14ac:dyDescent="0.25">
      <c r="I228" s="92" t="s">
        <v>2078</v>
      </c>
    </row>
    <row r="229" spans="9:9" ht="40.200000000000003" customHeight="1" x14ac:dyDescent="0.25">
      <c r="I229" s="92" t="s">
        <v>2079</v>
      </c>
    </row>
    <row r="230" spans="9:9" ht="40.200000000000003" customHeight="1" x14ac:dyDescent="0.25">
      <c r="I230" s="92" t="s">
        <v>2082</v>
      </c>
    </row>
    <row r="231" spans="9:9" ht="40.200000000000003" customHeight="1" x14ac:dyDescent="0.25">
      <c r="I231" s="92" t="s">
        <v>2083</v>
      </c>
    </row>
    <row r="232" spans="9:9" ht="40.200000000000003" customHeight="1" x14ac:dyDescent="0.25">
      <c r="I232" s="92" t="s">
        <v>2084</v>
      </c>
    </row>
    <row r="233" spans="9:9" ht="40.200000000000003" customHeight="1" x14ac:dyDescent="0.25">
      <c r="I233" s="92" t="s">
        <v>2085</v>
      </c>
    </row>
    <row r="234" spans="9:9" ht="40.200000000000003" customHeight="1" x14ac:dyDescent="0.25">
      <c r="I234" s="92" t="s">
        <v>2086</v>
      </c>
    </row>
    <row r="235" spans="9:9" ht="40.200000000000003" customHeight="1" x14ac:dyDescent="0.25">
      <c r="I235" s="92" t="s">
        <v>2087</v>
      </c>
    </row>
    <row r="236" spans="9:9" ht="40.200000000000003" customHeight="1" x14ac:dyDescent="0.25">
      <c r="I236" s="92" t="s">
        <v>2088</v>
      </c>
    </row>
    <row r="237" spans="9:9" ht="40.200000000000003" customHeight="1" x14ac:dyDescent="0.25">
      <c r="I237" s="92" t="s">
        <v>2089</v>
      </c>
    </row>
    <row r="238" spans="9:9" ht="40.200000000000003" customHeight="1" x14ac:dyDescent="0.25">
      <c r="I238" s="92" t="s">
        <v>2090</v>
      </c>
    </row>
    <row r="239" spans="9:9" ht="40.200000000000003" customHeight="1" x14ac:dyDescent="0.25">
      <c r="I239" s="92" t="s">
        <v>2416</v>
      </c>
    </row>
    <row r="240" spans="9:9" ht="40.200000000000003" customHeight="1" x14ac:dyDescent="0.25">
      <c r="I240" s="92" t="s">
        <v>2417</v>
      </c>
    </row>
    <row r="241" spans="9:9" ht="40.200000000000003" customHeight="1" x14ac:dyDescent="0.25">
      <c r="I241" s="92" t="s">
        <v>2418</v>
      </c>
    </row>
    <row r="242" spans="9:9" ht="40.200000000000003" customHeight="1" x14ac:dyDescent="0.25">
      <c r="I242" s="92" t="s">
        <v>2419</v>
      </c>
    </row>
    <row r="243" spans="9:9" ht="40.200000000000003" customHeight="1" x14ac:dyDescent="0.25">
      <c r="I243" s="141" t="s">
        <v>2420</v>
      </c>
    </row>
    <row r="244" spans="9:9" ht="40.200000000000003" customHeight="1" x14ac:dyDescent="0.25">
      <c r="I244" s="141" t="s">
        <v>2421</v>
      </c>
    </row>
    <row r="245" spans="9:9" ht="40.200000000000003" customHeight="1" x14ac:dyDescent="0.25">
      <c r="I245" s="141" t="s">
        <v>2422</v>
      </c>
    </row>
    <row r="246" spans="9:9" ht="40.200000000000003" customHeight="1" x14ac:dyDescent="0.25">
      <c r="I246" s="141" t="s">
        <v>2423</v>
      </c>
    </row>
    <row r="247" spans="9:9" ht="40.200000000000003" customHeight="1" x14ac:dyDescent="0.25">
      <c r="I247" s="141" t="s">
        <v>2424</v>
      </c>
    </row>
    <row r="248" spans="9:9" ht="40.200000000000003" customHeight="1" x14ac:dyDescent="0.25">
      <c r="I248" s="141" t="s">
        <v>2425</v>
      </c>
    </row>
    <row r="249" spans="9:9" ht="40.200000000000003" customHeight="1" x14ac:dyDescent="0.25">
      <c r="I249" s="141" t="s">
        <v>2426</v>
      </c>
    </row>
    <row r="250" spans="9:9" ht="40.200000000000003" customHeight="1" x14ac:dyDescent="0.25">
      <c r="I250" s="141" t="s">
        <v>2427</v>
      </c>
    </row>
    <row r="251" spans="9:9" ht="40.200000000000003" customHeight="1" x14ac:dyDescent="0.25">
      <c r="I251" s="141" t="s">
        <v>2428</v>
      </c>
    </row>
    <row r="252" spans="9:9" ht="40.200000000000003" customHeight="1" x14ac:dyDescent="0.25">
      <c r="I252" s="141" t="s">
        <v>2429</v>
      </c>
    </row>
    <row r="253" spans="9:9" ht="40.200000000000003" customHeight="1" x14ac:dyDescent="0.25">
      <c r="I253" s="141" t="s">
        <v>2430</v>
      </c>
    </row>
    <row r="254" spans="9:9" ht="40.200000000000003" customHeight="1" x14ac:dyDescent="0.25">
      <c r="I254" s="141" t="s">
        <v>2431</v>
      </c>
    </row>
    <row r="255" spans="9:9" ht="40.200000000000003" customHeight="1" x14ac:dyDescent="0.25">
      <c r="I255" s="141" t="s">
        <v>2432</v>
      </c>
    </row>
    <row r="256" spans="9:9" ht="40.200000000000003" customHeight="1" x14ac:dyDescent="0.25">
      <c r="I256" s="141" t="s">
        <v>2433</v>
      </c>
    </row>
    <row r="257" spans="9:9" ht="40.200000000000003" customHeight="1" x14ac:dyDescent="0.25">
      <c r="I257" s="141" t="s">
        <v>2434</v>
      </c>
    </row>
    <row r="258" spans="9:9" ht="40.200000000000003" customHeight="1" x14ac:dyDescent="0.25">
      <c r="I258" s="141" t="s">
        <v>2436</v>
      </c>
    </row>
    <row r="259" spans="9:9" ht="40.200000000000003" customHeight="1" x14ac:dyDescent="0.25">
      <c r="I259" s="141" t="s">
        <v>2437</v>
      </c>
    </row>
    <row r="260" spans="9:9" ht="40.200000000000003" customHeight="1" x14ac:dyDescent="0.25">
      <c r="I260" s="141" t="s">
        <v>2438</v>
      </c>
    </row>
    <row r="261" spans="9:9" ht="40.200000000000003" customHeight="1" x14ac:dyDescent="0.25">
      <c r="I261" s="141" t="s">
        <v>2439</v>
      </c>
    </row>
    <row r="262" spans="9:9" ht="40.200000000000003" customHeight="1" x14ac:dyDescent="0.25">
      <c r="I262" s="141" t="s">
        <v>2440</v>
      </c>
    </row>
    <row r="263" spans="9:9" ht="40.200000000000003" customHeight="1" x14ac:dyDescent="0.25">
      <c r="I263" s="141" t="s">
        <v>2441</v>
      </c>
    </row>
    <row r="264" spans="9:9" ht="40.200000000000003" customHeight="1" x14ac:dyDescent="0.25">
      <c r="I264" s="141" t="s">
        <v>2442</v>
      </c>
    </row>
    <row r="265" spans="9:9" ht="40.200000000000003" customHeight="1" x14ac:dyDescent="0.25">
      <c r="I265" s="141" t="s">
        <v>2443</v>
      </c>
    </row>
    <row r="266" spans="9:9" ht="40.200000000000003" customHeight="1" x14ac:dyDescent="0.25">
      <c r="I266" s="141" t="s">
        <v>2444</v>
      </c>
    </row>
    <row r="267" spans="9:9" ht="40.200000000000003" customHeight="1" x14ac:dyDescent="0.25">
      <c r="I267" s="141" t="s">
        <v>2445</v>
      </c>
    </row>
    <row r="268" spans="9:9" ht="40.200000000000003" customHeight="1" x14ac:dyDescent="0.25">
      <c r="I268" s="141" t="s">
        <v>2446</v>
      </c>
    </row>
    <row r="269" spans="9:9" ht="40.200000000000003" customHeight="1" x14ac:dyDescent="0.25">
      <c r="I269" s="141" t="s">
        <v>2447</v>
      </c>
    </row>
    <row r="270" spans="9:9" ht="40.200000000000003" customHeight="1" x14ac:dyDescent="0.25">
      <c r="I270" s="141" t="s">
        <v>2450</v>
      </c>
    </row>
    <row r="271" spans="9:9" ht="40.200000000000003" customHeight="1" x14ac:dyDescent="0.25">
      <c r="I271" s="141" t="s">
        <v>2451</v>
      </c>
    </row>
    <row r="272" spans="9:9" ht="40.200000000000003" customHeight="1" x14ac:dyDescent="0.25">
      <c r="I272" s="141" t="s">
        <v>2452</v>
      </c>
    </row>
    <row r="273" spans="9:9" ht="40.200000000000003" customHeight="1" x14ac:dyDescent="0.25">
      <c r="I273" s="141" t="s">
        <v>2453</v>
      </c>
    </row>
    <row r="274" spans="9:9" ht="40.200000000000003" customHeight="1" x14ac:dyDescent="0.25">
      <c r="I274" s="141" t="s">
        <v>2454</v>
      </c>
    </row>
    <row r="275" spans="9:9" ht="40.200000000000003" customHeight="1" x14ac:dyDescent="0.25"/>
    <row r="276" spans="9:9" ht="40.200000000000003" customHeight="1" x14ac:dyDescent="0.25"/>
    <row r="277" spans="9:9" ht="40.200000000000003" customHeight="1" x14ac:dyDescent="0.25"/>
    <row r="278" spans="9:9" ht="40.200000000000003" customHeight="1" x14ac:dyDescent="0.25"/>
    <row r="279" spans="9:9" ht="40.200000000000003" customHeight="1" x14ac:dyDescent="0.25"/>
    <row r="280" spans="9:9" ht="40.200000000000003" customHeight="1" x14ac:dyDescent="0.25"/>
    <row r="281" spans="9:9" ht="40.200000000000003" customHeight="1" x14ac:dyDescent="0.25"/>
    <row r="282" spans="9:9" ht="40.200000000000003" customHeight="1" x14ac:dyDescent="0.25"/>
    <row r="283" spans="9:9" ht="40.200000000000003" customHeight="1" x14ac:dyDescent="0.25"/>
    <row r="284" spans="9:9" ht="40.200000000000003" customHeight="1" x14ac:dyDescent="0.25"/>
    <row r="285" spans="9:9" ht="40.200000000000003" customHeight="1" x14ac:dyDescent="0.25"/>
    <row r="286" spans="9:9" ht="40.200000000000003" customHeight="1" x14ac:dyDescent="0.25"/>
    <row r="287" spans="9:9" ht="40.200000000000003" customHeight="1" x14ac:dyDescent="0.25"/>
    <row r="288" spans="9:9" ht="40.200000000000003" customHeight="1" x14ac:dyDescent="0.25"/>
    <row r="289" ht="40.200000000000003" customHeight="1" x14ac:dyDescent="0.25"/>
    <row r="290" ht="40.200000000000003" customHeight="1" x14ac:dyDescent="0.25"/>
    <row r="291" ht="40.200000000000003" customHeight="1" x14ac:dyDescent="0.25"/>
    <row r="292" ht="40.200000000000003" customHeight="1" x14ac:dyDescent="0.25"/>
    <row r="293" ht="40.200000000000003" customHeight="1" x14ac:dyDescent="0.25"/>
    <row r="294" ht="40.200000000000003" customHeight="1" x14ac:dyDescent="0.25"/>
    <row r="295" ht="40.200000000000003" customHeight="1" x14ac:dyDescent="0.25"/>
    <row r="296" ht="40.200000000000003" customHeight="1" x14ac:dyDescent="0.25"/>
    <row r="297" ht="40.200000000000003" customHeight="1" x14ac:dyDescent="0.25"/>
    <row r="298" ht="40.200000000000003" customHeight="1" x14ac:dyDescent="0.25"/>
    <row r="299" ht="40.200000000000003" customHeight="1" x14ac:dyDescent="0.25"/>
    <row r="300" ht="40.200000000000003" customHeight="1" x14ac:dyDescent="0.25"/>
    <row r="301" ht="40.200000000000003" customHeight="1" x14ac:dyDescent="0.25"/>
    <row r="302" ht="40.200000000000003" customHeight="1" x14ac:dyDescent="0.25"/>
    <row r="303" ht="40.200000000000003" customHeight="1" x14ac:dyDescent="0.25"/>
    <row r="304" ht="40.200000000000003" customHeight="1" x14ac:dyDescent="0.25"/>
    <row r="305" ht="40.200000000000003" customHeight="1" x14ac:dyDescent="0.25"/>
    <row r="306" ht="40.200000000000003" customHeight="1" x14ac:dyDescent="0.25"/>
    <row r="307" ht="40.200000000000003" customHeight="1" x14ac:dyDescent="0.25"/>
    <row r="308" ht="40.200000000000003" customHeight="1" x14ac:dyDescent="0.25"/>
    <row r="309" ht="40.200000000000003" customHeight="1" x14ac:dyDescent="0.25"/>
    <row r="310" ht="40.200000000000003" customHeight="1" x14ac:dyDescent="0.25"/>
    <row r="311" ht="40.200000000000003" customHeight="1" x14ac:dyDescent="0.25"/>
    <row r="312" ht="40.200000000000003" customHeight="1" x14ac:dyDescent="0.25"/>
    <row r="313" ht="40.200000000000003" customHeight="1" x14ac:dyDescent="0.25"/>
    <row r="314" ht="40.200000000000003" customHeight="1" x14ac:dyDescent="0.25"/>
    <row r="315" ht="40.200000000000003" customHeight="1" x14ac:dyDescent="0.25"/>
    <row r="316" ht="40.200000000000003" customHeight="1" x14ac:dyDescent="0.25"/>
    <row r="317" ht="40.200000000000003" customHeight="1" x14ac:dyDescent="0.25"/>
    <row r="318" ht="40.200000000000003" customHeight="1" x14ac:dyDescent="0.25"/>
    <row r="319" ht="40.200000000000003" customHeight="1" x14ac:dyDescent="0.25"/>
    <row r="320" ht="40.200000000000003" customHeight="1" x14ac:dyDescent="0.25"/>
    <row r="321" ht="40.200000000000003" customHeight="1" x14ac:dyDescent="0.25"/>
    <row r="322" ht="40.200000000000003" customHeight="1" x14ac:dyDescent="0.25"/>
    <row r="323" ht="40.200000000000003" customHeight="1" x14ac:dyDescent="0.25"/>
    <row r="324" ht="40.200000000000003" customHeight="1" x14ac:dyDescent="0.25"/>
    <row r="325" ht="40.200000000000003" customHeight="1" x14ac:dyDescent="0.25"/>
    <row r="326" ht="40.200000000000003" customHeight="1" x14ac:dyDescent="0.25"/>
    <row r="327" ht="40.200000000000003" customHeight="1" x14ac:dyDescent="0.25"/>
    <row r="328" ht="40.200000000000003" customHeight="1" x14ac:dyDescent="0.25"/>
    <row r="329" ht="40.200000000000003" customHeight="1" x14ac:dyDescent="0.25"/>
    <row r="330" ht="40.200000000000003" customHeight="1" x14ac:dyDescent="0.25"/>
    <row r="331" ht="40.200000000000003" customHeight="1" x14ac:dyDescent="0.25"/>
    <row r="332" ht="40.200000000000003" customHeight="1" x14ac:dyDescent="0.25"/>
    <row r="333" ht="40.200000000000003" customHeight="1" x14ac:dyDescent="0.25"/>
    <row r="334" ht="40.200000000000003" customHeight="1" x14ac:dyDescent="0.25"/>
    <row r="335" ht="40.200000000000003" customHeight="1" x14ac:dyDescent="0.25"/>
    <row r="336" ht="40.200000000000003" customHeight="1" x14ac:dyDescent="0.25"/>
    <row r="337" ht="40.200000000000003" customHeight="1" x14ac:dyDescent="0.25"/>
    <row r="338" ht="40.200000000000003" customHeight="1" x14ac:dyDescent="0.25"/>
    <row r="339" ht="40.200000000000003" customHeight="1" x14ac:dyDescent="0.25"/>
    <row r="340" ht="40.200000000000003" customHeight="1" x14ac:dyDescent="0.25"/>
    <row r="341" ht="40.200000000000003" customHeight="1" x14ac:dyDescent="0.25"/>
    <row r="342" ht="40.200000000000003" customHeight="1" x14ac:dyDescent="0.25"/>
    <row r="343" ht="40.200000000000003" customHeight="1" x14ac:dyDescent="0.25"/>
    <row r="344" ht="40.200000000000003" customHeight="1" x14ac:dyDescent="0.25"/>
    <row r="345" ht="40.200000000000003" customHeight="1" x14ac:dyDescent="0.25"/>
    <row r="346" ht="40.200000000000003" customHeight="1" x14ac:dyDescent="0.25"/>
    <row r="347" ht="40.200000000000003" customHeight="1" x14ac:dyDescent="0.25"/>
    <row r="348" ht="40.200000000000003" customHeight="1" x14ac:dyDescent="0.25"/>
    <row r="349" ht="40.200000000000003" customHeight="1" x14ac:dyDescent="0.25"/>
    <row r="350" ht="40.200000000000003" customHeight="1" x14ac:dyDescent="0.25"/>
    <row r="351" ht="40.200000000000003" customHeight="1" x14ac:dyDescent="0.25"/>
    <row r="352" ht="40.200000000000003" customHeight="1" x14ac:dyDescent="0.25"/>
    <row r="353" ht="40.200000000000003" customHeight="1" x14ac:dyDescent="0.25"/>
    <row r="354" ht="40.200000000000003" customHeight="1" x14ac:dyDescent="0.25"/>
    <row r="355" ht="40.200000000000003" customHeight="1" x14ac:dyDescent="0.25"/>
    <row r="356" ht="40.200000000000003" customHeight="1" x14ac:dyDescent="0.25"/>
    <row r="357" ht="40.200000000000003" customHeight="1" x14ac:dyDescent="0.25"/>
    <row r="358" ht="40.200000000000003" customHeight="1" x14ac:dyDescent="0.25"/>
    <row r="359" ht="40.200000000000003" customHeight="1" x14ac:dyDescent="0.25"/>
    <row r="360" ht="40.200000000000003" customHeight="1" x14ac:dyDescent="0.25"/>
    <row r="361" ht="40.200000000000003" customHeight="1" x14ac:dyDescent="0.25"/>
    <row r="362" ht="40.200000000000003" customHeight="1" x14ac:dyDescent="0.25"/>
    <row r="363" ht="40.200000000000003" customHeight="1" x14ac:dyDescent="0.25"/>
    <row r="364" ht="40.200000000000003" customHeight="1" x14ac:dyDescent="0.25"/>
    <row r="365" ht="40.200000000000003" customHeight="1" x14ac:dyDescent="0.25"/>
    <row r="366" ht="40.200000000000003" customHeight="1" x14ac:dyDescent="0.25"/>
    <row r="367" ht="40.200000000000003" customHeight="1" x14ac:dyDescent="0.25"/>
    <row r="368" ht="40.200000000000003" customHeight="1" x14ac:dyDescent="0.25"/>
    <row r="369" ht="40.200000000000003" customHeight="1" x14ac:dyDescent="0.25"/>
    <row r="370" ht="40.200000000000003" customHeight="1" x14ac:dyDescent="0.25"/>
    <row r="371" ht="40.200000000000003" customHeight="1" x14ac:dyDescent="0.25"/>
    <row r="372" ht="40.200000000000003" customHeight="1" x14ac:dyDescent="0.25"/>
    <row r="373" ht="40.200000000000003" customHeight="1" x14ac:dyDescent="0.25"/>
    <row r="374" ht="40.200000000000003" customHeight="1" x14ac:dyDescent="0.25"/>
    <row r="375" ht="40.200000000000003" customHeight="1" x14ac:dyDescent="0.25"/>
    <row r="376" ht="40.200000000000003" customHeight="1" x14ac:dyDescent="0.25"/>
    <row r="377" ht="40.200000000000003" customHeight="1" x14ac:dyDescent="0.25"/>
    <row r="378" ht="40.200000000000003" customHeight="1" x14ac:dyDescent="0.25"/>
    <row r="379" ht="40.200000000000003" customHeight="1" x14ac:dyDescent="0.25"/>
    <row r="380" ht="40.200000000000003" customHeight="1" x14ac:dyDescent="0.25"/>
    <row r="381" ht="40.200000000000003" customHeight="1" x14ac:dyDescent="0.25"/>
    <row r="382" ht="40.200000000000003" customHeight="1" x14ac:dyDescent="0.25"/>
    <row r="383" ht="40.200000000000003" customHeight="1" x14ac:dyDescent="0.25"/>
    <row r="384" ht="40.200000000000003" customHeight="1" x14ac:dyDescent="0.25"/>
    <row r="385" ht="40.200000000000003" customHeight="1" x14ac:dyDescent="0.25"/>
    <row r="386" ht="40.200000000000003" customHeight="1" x14ac:dyDescent="0.25"/>
    <row r="387" ht="40.200000000000003" customHeight="1" x14ac:dyDescent="0.25"/>
    <row r="388" ht="40.200000000000003" customHeight="1" x14ac:dyDescent="0.25"/>
    <row r="389" ht="40.200000000000003" customHeight="1" x14ac:dyDescent="0.25"/>
    <row r="390" ht="40.200000000000003" customHeight="1" x14ac:dyDescent="0.25"/>
    <row r="391" ht="40.200000000000003" customHeight="1" x14ac:dyDescent="0.25"/>
    <row r="392" ht="40.200000000000003" customHeight="1" x14ac:dyDescent="0.25"/>
    <row r="393" ht="40.200000000000003" customHeight="1" x14ac:dyDescent="0.25"/>
    <row r="394" ht="40.200000000000003" customHeight="1" x14ac:dyDescent="0.25"/>
    <row r="395" ht="40.200000000000003" customHeight="1" x14ac:dyDescent="0.25"/>
    <row r="396" ht="40.200000000000003" customHeight="1" x14ac:dyDescent="0.25"/>
    <row r="397" ht="40.200000000000003" customHeight="1" x14ac:dyDescent="0.25"/>
    <row r="398" ht="40.200000000000003" customHeight="1" x14ac:dyDescent="0.25"/>
    <row r="399" ht="40.200000000000003" customHeight="1" x14ac:dyDescent="0.25"/>
    <row r="400" ht="40.200000000000003" customHeight="1" x14ac:dyDescent="0.25"/>
    <row r="401" ht="40.200000000000003" customHeight="1" x14ac:dyDescent="0.25"/>
    <row r="402" ht="40.200000000000003" customHeight="1" x14ac:dyDescent="0.25"/>
    <row r="403" ht="40.200000000000003" customHeight="1" x14ac:dyDescent="0.25"/>
    <row r="404" ht="40.200000000000003" customHeight="1" x14ac:dyDescent="0.25"/>
    <row r="405" ht="40.200000000000003" customHeight="1" x14ac:dyDescent="0.25"/>
    <row r="406" ht="40.200000000000003" customHeight="1" x14ac:dyDescent="0.25"/>
    <row r="407" ht="40.200000000000003" customHeight="1" x14ac:dyDescent="0.25"/>
    <row r="408" ht="40.200000000000003" customHeight="1" x14ac:dyDescent="0.25"/>
    <row r="409" ht="40.200000000000003" customHeight="1" x14ac:dyDescent="0.25"/>
    <row r="410" ht="40.200000000000003" customHeight="1" x14ac:dyDescent="0.25"/>
    <row r="411" ht="40.200000000000003" customHeight="1" x14ac:dyDescent="0.25"/>
    <row r="412" ht="40.200000000000003" customHeight="1" x14ac:dyDescent="0.25"/>
    <row r="413" ht="40.200000000000003" customHeight="1" x14ac:dyDescent="0.25"/>
    <row r="414" ht="40.200000000000003" customHeight="1" x14ac:dyDescent="0.25"/>
    <row r="415" ht="40.200000000000003" customHeight="1" x14ac:dyDescent="0.25"/>
    <row r="416" ht="40.200000000000003" customHeight="1" x14ac:dyDescent="0.25"/>
    <row r="417" ht="40.200000000000003" customHeight="1" x14ac:dyDescent="0.25"/>
    <row r="418" ht="40.200000000000003" customHeight="1" x14ac:dyDescent="0.25"/>
    <row r="419" ht="40.200000000000003" customHeight="1" x14ac:dyDescent="0.25"/>
    <row r="420" ht="40.200000000000003" customHeight="1" x14ac:dyDescent="0.25"/>
    <row r="421" ht="40.200000000000003" customHeight="1" x14ac:dyDescent="0.25"/>
    <row r="422" ht="40.200000000000003" customHeight="1" x14ac:dyDescent="0.25"/>
    <row r="423" ht="40.200000000000003" customHeight="1" x14ac:dyDescent="0.25"/>
    <row r="424" ht="40.200000000000003" customHeight="1" x14ac:dyDescent="0.25"/>
    <row r="425" ht="40.200000000000003" customHeight="1" x14ac:dyDescent="0.25"/>
    <row r="426" ht="40.200000000000003" customHeight="1" x14ac:dyDescent="0.25"/>
    <row r="427" ht="40.200000000000003" customHeight="1" x14ac:dyDescent="0.25"/>
    <row r="428" ht="40.200000000000003" customHeight="1" x14ac:dyDescent="0.25"/>
    <row r="429" ht="40.200000000000003" customHeight="1" x14ac:dyDescent="0.25"/>
    <row r="430" ht="40.200000000000003" customHeight="1" x14ac:dyDescent="0.25"/>
    <row r="431" ht="40.200000000000003" customHeight="1" x14ac:dyDescent="0.25"/>
    <row r="432" ht="40.200000000000003" customHeight="1" x14ac:dyDescent="0.25"/>
    <row r="433" ht="40.200000000000003" customHeight="1" x14ac:dyDescent="0.25"/>
    <row r="434" ht="40.200000000000003" customHeight="1" x14ac:dyDescent="0.25"/>
    <row r="435" ht="40.200000000000003" customHeight="1" x14ac:dyDescent="0.25"/>
    <row r="436" ht="40.200000000000003" customHeight="1" x14ac:dyDescent="0.25"/>
    <row r="437" ht="40.200000000000003" customHeight="1" x14ac:dyDescent="0.25"/>
    <row r="438" ht="40.200000000000003" customHeight="1" x14ac:dyDescent="0.25"/>
    <row r="439" ht="40.200000000000003" customHeight="1" x14ac:dyDescent="0.25"/>
    <row r="440" ht="40.200000000000003" customHeight="1" x14ac:dyDescent="0.25"/>
    <row r="441" ht="40.200000000000003" customHeight="1" x14ac:dyDescent="0.25"/>
    <row r="442" ht="40.200000000000003" customHeight="1" x14ac:dyDescent="0.25"/>
    <row r="443" ht="40.200000000000003" customHeight="1" x14ac:dyDescent="0.25"/>
    <row r="444" ht="40.200000000000003" customHeight="1" x14ac:dyDescent="0.25"/>
    <row r="445" ht="40.200000000000003" customHeight="1" x14ac:dyDescent="0.25"/>
    <row r="446" ht="40.200000000000003" customHeight="1" x14ac:dyDescent="0.25"/>
    <row r="447" ht="40.200000000000003" customHeight="1" x14ac:dyDescent="0.25"/>
    <row r="448" ht="40.200000000000003" customHeight="1" x14ac:dyDescent="0.25"/>
    <row r="449" ht="40.200000000000003" customHeight="1" x14ac:dyDescent="0.25"/>
    <row r="450" ht="40.200000000000003" customHeight="1" x14ac:dyDescent="0.25"/>
    <row r="451" ht="40.200000000000003" customHeight="1" x14ac:dyDescent="0.25"/>
    <row r="452" ht="40.200000000000003" customHeight="1" x14ac:dyDescent="0.25"/>
    <row r="453" ht="40.200000000000003" customHeight="1" x14ac:dyDescent="0.25"/>
    <row r="454" ht="40.200000000000003" customHeight="1" x14ac:dyDescent="0.25"/>
    <row r="455" ht="40.200000000000003" customHeight="1" x14ac:dyDescent="0.25"/>
    <row r="456" ht="40.200000000000003" customHeight="1" x14ac:dyDescent="0.25"/>
    <row r="457" ht="40.200000000000003" customHeight="1" x14ac:dyDescent="0.25"/>
    <row r="458" ht="40.200000000000003" customHeight="1" x14ac:dyDescent="0.25"/>
    <row r="459" ht="40.200000000000003" customHeight="1" x14ac:dyDescent="0.25"/>
    <row r="460" ht="40.200000000000003" customHeight="1" x14ac:dyDescent="0.25"/>
    <row r="461" ht="40.200000000000003" customHeight="1" x14ac:dyDescent="0.25"/>
    <row r="462" ht="40.200000000000003" customHeight="1" x14ac:dyDescent="0.25"/>
    <row r="463" ht="40.200000000000003" customHeight="1" x14ac:dyDescent="0.25"/>
    <row r="464" ht="40.200000000000003" customHeight="1" x14ac:dyDescent="0.25"/>
    <row r="465" ht="40.200000000000003" customHeight="1" x14ac:dyDescent="0.25"/>
    <row r="466" ht="40.200000000000003" customHeight="1" x14ac:dyDescent="0.25"/>
    <row r="467" ht="40.200000000000003" customHeight="1" x14ac:dyDescent="0.25"/>
    <row r="468" ht="40.200000000000003" customHeight="1" x14ac:dyDescent="0.25"/>
    <row r="469" ht="40.200000000000003" customHeight="1" x14ac:dyDescent="0.25"/>
    <row r="470" ht="40.200000000000003" customHeight="1" x14ac:dyDescent="0.25"/>
    <row r="471" ht="40.200000000000003" customHeight="1" x14ac:dyDescent="0.25"/>
    <row r="472" ht="40.200000000000003" customHeight="1" x14ac:dyDescent="0.25"/>
    <row r="473" ht="40.200000000000003" customHeight="1" x14ac:dyDescent="0.25"/>
    <row r="474" ht="40.200000000000003" customHeight="1" x14ac:dyDescent="0.25"/>
    <row r="475" ht="40.200000000000003" customHeight="1" x14ac:dyDescent="0.25"/>
    <row r="476" ht="40.200000000000003" customHeight="1" x14ac:dyDescent="0.25"/>
    <row r="477" ht="40.200000000000003" customHeight="1" x14ac:dyDescent="0.25"/>
    <row r="478" ht="40.200000000000003" customHeight="1" x14ac:dyDescent="0.25"/>
    <row r="479" ht="40.200000000000003" customHeight="1" x14ac:dyDescent="0.25"/>
    <row r="480" ht="40.200000000000003" customHeight="1" x14ac:dyDescent="0.25"/>
    <row r="481" ht="40.200000000000003" customHeight="1" x14ac:dyDescent="0.25"/>
    <row r="482" ht="40.200000000000003" customHeight="1" x14ac:dyDescent="0.25"/>
    <row r="483" ht="40.200000000000003" customHeight="1" x14ac:dyDescent="0.25"/>
    <row r="484" ht="40.200000000000003" customHeight="1" x14ac:dyDescent="0.25"/>
    <row r="485" ht="40.200000000000003" customHeight="1" x14ac:dyDescent="0.25"/>
    <row r="486" ht="40.200000000000003" customHeight="1" x14ac:dyDescent="0.25"/>
    <row r="487" ht="40.200000000000003" customHeight="1" x14ac:dyDescent="0.25"/>
    <row r="488" ht="40.200000000000003" customHeight="1" x14ac:dyDescent="0.25"/>
    <row r="489" ht="40.200000000000003" customHeight="1" x14ac:dyDescent="0.25"/>
    <row r="490" ht="40.200000000000003" customHeight="1" x14ac:dyDescent="0.25"/>
    <row r="491" ht="40.200000000000003" customHeight="1" x14ac:dyDescent="0.25"/>
    <row r="492" ht="40.200000000000003" customHeight="1" x14ac:dyDescent="0.25"/>
    <row r="493" ht="40.200000000000003" customHeight="1" x14ac:dyDescent="0.25"/>
    <row r="494" ht="40.200000000000003" customHeight="1" x14ac:dyDescent="0.25"/>
    <row r="495" ht="40.200000000000003" customHeight="1" x14ac:dyDescent="0.25"/>
    <row r="496" ht="40.200000000000003" customHeight="1" x14ac:dyDescent="0.25"/>
    <row r="497" ht="40.200000000000003" customHeight="1" x14ac:dyDescent="0.25"/>
    <row r="498" ht="40.200000000000003" customHeight="1" x14ac:dyDescent="0.25"/>
    <row r="499" ht="40.200000000000003" customHeight="1" x14ac:dyDescent="0.25"/>
    <row r="500" ht="40.200000000000003" customHeight="1" x14ac:dyDescent="0.25"/>
    <row r="501" ht="40.200000000000003" customHeight="1" x14ac:dyDescent="0.25"/>
    <row r="502" ht="40.200000000000003" customHeight="1" x14ac:dyDescent="0.25"/>
    <row r="503" ht="40.200000000000003" customHeight="1" x14ac:dyDescent="0.25"/>
    <row r="504" ht="40.200000000000003" customHeight="1" x14ac:dyDescent="0.25"/>
    <row r="505" ht="40.200000000000003" customHeight="1" x14ac:dyDescent="0.25"/>
    <row r="506" ht="40.200000000000003" customHeight="1" x14ac:dyDescent="0.25"/>
    <row r="507" ht="40.200000000000003" customHeight="1" x14ac:dyDescent="0.25"/>
    <row r="508" ht="40.200000000000003" customHeight="1" x14ac:dyDescent="0.25"/>
    <row r="509" ht="40.200000000000003" customHeight="1" x14ac:dyDescent="0.25"/>
    <row r="510" ht="40.200000000000003" customHeight="1" x14ac:dyDescent="0.25"/>
    <row r="511" ht="40.200000000000003" customHeight="1" x14ac:dyDescent="0.25"/>
    <row r="512" ht="40.200000000000003" customHeight="1" x14ac:dyDescent="0.25"/>
    <row r="513" ht="40.200000000000003" customHeight="1" x14ac:dyDescent="0.25"/>
    <row r="514" ht="40.200000000000003" customHeight="1" x14ac:dyDescent="0.25"/>
    <row r="515" ht="40.200000000000003" customHeight="1" x14ac:dyDescent="0.25"/>
    <row r="516" ht="40.200000000000003" customHeight="1" x14ac:dyDescent="0.25"/>
    <row r="517" ht="40.200000000000003" customHeight="1" x14ac:dyDescent="0.25"/>
    <row r="518" ht="40.200000000000003" customHeight="1" x14ac:dyDescent="0.25"/>
    <row r="519" ht="40.200000000000003" customHeight="1" x14ac:dyDescent="0.25"/>
    <row r="520" ht="40.200000000000003" customHeight="1" x14ac:dyDescent="0.25"/>
    <row r="521" ht="40.200000000000003" customHeight="1" x14ac:dyDescent="0.25"/>
    <row r="522" ht="40.200000000000003" customHeight="1" x14ac:dyDescent="0.25"/>
    <row r="523" ht="40.200000000000003" customHeight="1" x14ac:dyDescent="0.25"/>
    <row r="524" ht="40.200000000000003" customHeight="1" x14ac:dyDescent="0.25"/>
    <row r="525" ht="40.200000000000003" customHeight="1" x14ac:dyDescent="0.25"/>
    <row r="526" ht="40.200000000000003" customHeight="1" x14ac:dyDescent="0.25"/>
    <row r="527" ht="40.200000000000003" customHeight="1" x14ac:dyDescent="0.25"/>
    <row r="528" ht="40.200000000000003" customHeight="1" x14ac:dyDescent="0.25"/>
    <row r="529" ht="40.200000000000003" customHeight="1" x14ac:dyDescent="0.25"/>
    <row r="530" ht="40.200000000000003" customHeight="1" x14ac:dyDescent="0.25"/>
    <row r="531" ht="40.200000000000003" customHeight="1" x14ac:dyDescent="0.25"/>
    <row r="532" ht="40.200000000000003" customHeight="1" x14ac:dyDescent="0.25"/>
    <row r="533" ht="40.200000000000003" customHeight="1" x14ac:dyDescent="0.25"/>
    <row r="534" ht="40.200000000000003" customHeight="1" x14ac:dyDescent="0.25"/>
    <row r="535" ht="40.200000000000003" customHeight="1" x14ac:dyDescent="0.25"/>
    <row r="536" ht="40.200000000000003" customHeight="1" x14ac:dyDescent="0.25"/>
    <row r="537" ht="40.200000000000003" customHeight="1" x14ac:dyDescent="0.25"/>
    <row r="538" ht="40.200000000000003" customHeight="1" x14ac:dyDescent="0.25"/>
    <row r="539" ht="40.200000000000003" customHeight="1" x14ac:dyDescent="0.25"/>
    <row r="540" ht="40.200000000000003" customHeight="1" x14ac:dyDescent="0.25"/>
    <row r="541" ht="40.200000000000003" customHeight="1" x14ac:dyDescent="0.25"/>
    <row r="542" ht="40.200000000000003" customHeight="1" x14ac:dyDescent="0.25"/>
    <row r="543" ht="40.200000000000003" customHeight="1" x14ac:dyDescent="0.25"/>
    <row r="544" ht="40.200000000000003" customHeight="1" x14ac:dyDescent="0.25"/>
    <row r="545" ht="40.200000000000003" customHeight="1" x14ac:dyDescent="0.25"/>
    <row r="546" ht="40.200000000000003" customHeight="1" x14ac:dyDescent="0.25"/>
    <row r="547" ht="40.200000000000003" customHeight="1" x14ac:dyDescent="0.25"/>
    <row r="548" ht="40.200000000000003" customHeight="1" x14ac:dyDescent="0.25"/>
    <row r="549" ht="40.200000000000003" customHeight="1" x14ac:dyDescent="0.25"/>
    <row r="550" ht="40.200000000000003" customHeight="1" x14ac:dyDescent="0.25"/>
    <row r="551" ht="40.200000000000003" customHeight="1" x14ac:dyDescent="0.25"/>
    <row r="552" ht="40.200000000000003" customHeight="1" x14ac:dyDescent="0.25"/>
    <row r="553" ht="40.200000000000003" customHeight="1" x14ac:dyDescent="0.25"/>
    <row r="554" ht="40.200000000000003" customHeight="1" x14ac:dyDescent="0.25"/>
    <row r="555" ht="40.200000000000003" customHeight="1" x14ac:dyDescent="0.25"/>
    <row r="556" ht="40.200000000000003" customHeight="1" x14ac:dyDescent="0.25"/>
    <row r="557" ht="40.200000000000003" customHeight="1" x14ac:dyDescent="0.25"/>
    <row r="558" ht="40.200000000000003" customHeight="1" x14ac:dyDescent="0.25"/>
    <row r="559" ht="40.200000000000003" customHeight="1" x14ac:dyDescent="0.25"/>
    <row r="560" ht="40.200000000000003" customHeight="1" x14ac:dyDescent="0.25"/>
    <row r="561" ht="40.200000000000003" customHeight="1" x14ac:dyDescent="0.25"/>
    <row r="562" ht="40.200000000000003" customHeight="1" x14ac:dyDescent="0.25"/>
    <row r="563" ht="40.200000000000003" customHeight="1" x14ac:dyDescent="0.25"/>
    <row r="564" ht="40.200000000000003" customHeight="1" x14ac:dyDescent="0.25"/>
    <row r="565" ht="40.200000000000003" customHeight="1" x14ac:dyDescent="0.25"/>
    <row r="566" ht="40.200000000000003" customHeight="1" x14ac:dyDescent="0.25"/>
    <row r="567" ht="40.200000000000003" customHeight="1" x14ac:dyDescent="0.25"/>
    <row r="568" ht="40.200000000000003" customHeight="1" x14ac:dyDescent="0.25"/>
    <row r="569" ht="40.200000000000003" customHeight="1" x14ac:dyDescent="0.25"/>
    <row r="570" ht="40.200000000000003" customHeight="1" x14ac:dyDescent="0.25"/>
    <row r="571" ht="40.200000000000003" customHeight="1" x14ac:dyDescent="0.25"/>
    <row r="572" ht="40.200000000000003" customHeight="1" x14ac:dyDescent="0.25"/>
    <row r="573" ht="40.200000000000003" customHeight="1" x14ac:dyDescent="0.25"/>
    <row r="574" ht="40.200000000000003" customHeight="1" x14ac:dyDescent="0.25"/>
    <row r="575" ht="40.200000000000003" customHeight="1" x14ac:dyDescent="0.25"/>
    <row r="576" ht="40.200000000000003" customHeight="1" x14ac:dyDescent="0.25"/>
    <row r="577" ht="40.200000000000003" customHeight="1" x14ac:dyDescent="0.25"/>
    <row r="578" ht="40.200000000000003" customHeight="1" x14ac:dyDescent="0.25"/>
    <row r="579" ht="40.200000000000003" customHeight="1" x14ac:dyDescent="0.25"/>
    <row r="580" ht="40.200000000000003" customHeight="1" x14ac:dyDescent="0.25"/>
    <row r="581" ht="40.200000000000003" customHeight="1" x14ac:dyDescent="0.25"/>
    <row r="582" ht="40.200000000000003" customHeight="1" x14ac:dyDescent="0.25"/>
    <row r="583" ht="40.200000000000003" customHeight="1" x14ac:dyDescent="0.25"/>
    <row r="584" ht="40.200000000000003" customHeight="1" x14ac:dyDescent="0.25"/>
    <row r="585" ht="40.200000000000003" customHeight="1" x14ac:dyDescent="0.25"/>
    <row r="586" ht="40.200000000000003" customHeight="1" x14ac:dyDescent="0.25"/>
    <row r="587" ht="40.200000000000003" customHeight="1" x14ac:dyDescent="0.25"/>
    <row r="588" ht="40.200000000000003" customHeight="1" x14ac:dyDescent="0.25"/>
    <row r="589" ht="40.200000000000003" customHeight="1" x14ac:dyDescent="0.25"/>
    <row r="590" ht="40.200000000000003" customHeight="1" x14ac:dyDescent="0.25"/>
    <row r="591" ht="40.200000000000003" customHeight="1" x14ac:dyDescent="0.25"/>
    <row r="592" ht="40.200000000000003" customHeight="1" x14ac:dyDescent="0.25"/>
    <row r="593" ht="40.200000000000003" customHeight="1" x14ac:dyDescent="0.25"/>
    <row r="594" ht="40.200000000000003" customHeight="1" x14ac:dyDescent="0.25"/>
    <row r="595" ht="40.200000000000003" customHeight="1" x14ac:dyDescent="0.25"/>
    <row r="596" ht="40.200000000000003" customHeight="1" x14ac:dyDescent="0.25"/>
    <row r="597" ht="40.200000000000003" customHeight="1" x14ac:dyDescent="0.25"/>
    <row r="598" ht="40.200000000000003" customHeight="1" x14ac:dyDescent="0.25"/>
    <row r="599" ht="40.200000000000003" customHeight="1" x14ac:dyDescent="0.25"/>
    <row r="600" ht="40.200000000000003" customHeight="1" x14ac:dyDescent="0.25"/>
    <row r="601" ht="40.200000000000003" customHeight="1" x14ac:dyDescent="0.25"/>
    <row r="602" ht="40.200000000000003" customHeight="1" x14ac:dyDescent="0.25"/>
    <row r="603" ht="40.200000000000003" customHeight="1" x14ac:dyDescent="0.25"/>
    <row r="604" ht="40.200000000000003" customHeight="1" x14ac:dyDescent="0.25"/>
    <row r="605" ht="40.200000000000003" customHeight="1" x14ac:dyDescent="0.25"/>
    <row r="606" ht="40.200000000000003" customHeight="1" x14ac:dyDescent="0.25"/>
    <row r="607" ht="40.200000000000003" customHeight="1" x14ac:dyDescent="0.25"/>
    <row r="608" ht="40.200000000000003" customHeight="1" x14ac:dyDescent="0.25"/>
    <row r="609" ht="40.200000000000003" customHeight="1" x14ac:dyDescent="0.25"/>
    <row r="610" ht="40.200000000000003" customHeight="1" x14ac:dyDescent="0.25"/>
    <row r="611" ht="40.200000000000003" customHeight="1" x14ac:dyDescent="0.25"/>
    <row r="612" ht="40.200000000000003" customHeight="1" x14ac:dyDescent="0.25"/>
    <row r="613" ht="40.200000000000003" customHeight="1" x14ac:dyDescent="0.25"/>
    <row r="614" ht="40.200000000000003" customHeight="1" x14ac:dyDescent="0.25"/>
    <row r="615" ht="40.200000000000003" customHeight="1" x14ac:dyDescent="0.25"/>
    <row r="616" ht="40.200000000000003" customHeight="1" x14ac:dyDescent="0.25"/>
    <row r="617" ht="40.200000000000003" customHeight="1" x14ac:dyDescent="0.25"/>
    <row r="618" ht="40.200000000000003" customHeight="1" x14ac:dyDescent="0.25"/>
    <row r="619" ht="40.200000000000003" customHeight="1" x14ac:dyDescent="0.25"/>
    <row r="620" ht="40.200000000000003" customHeight="1" x14ac:dyDescent="0.25"/>
    <row r="621" ht="40.200000000000003" customHeight="1" x14ac:dyDescent="0.25"/>
    <row r="622" ht="40.200000000000003" customHeight="1" x14ac:dyDescent="0.25"/>
    <row r="623" ht="40.200000000000003" customHeight="1" x14ac:dyDescent="0.25"/>
    <row r="624" ht="40.200000000000003" customHeight="1" x14ac:dyDescent="0.25"/>
    <row r="625" ht="40.200000000000003" customHeight="1" x14ac:dyDescent="0.25"/>
    <row r="626" ht="40.200000000000003" customHeight="1" x14ac:dyDescent="0.25"/>
    <row r="627" ht="40.200000000000003" customHeight="1" x14ac:dyDescent="0.25"/>
    <row r="628" ht="40.200000000000003" customHeight="1" x14ac:dyDescent="0.25"/>
    <row r="629" ht="40.200000000000003" customHeight="1" x14ac:dyDescent="0.25"/>
    <row r="630" ht="40.200000000000003" customHeight="1" x14ac:dyDescent="0.25"/>
    <row r="631" ht="40.200000000000003" customHeight="1" x14ac:dyDescent="0.25"/>
    <row r="632" ht="40.200000000000003" customHeight="1" x14ac:dyDescent="0.25"/>
    <row r="633" ht="40.200000000000003" customHeight="1" x14ac:dyDescent="0.25"/>
    <row r="634" ht="40.200000000000003" customHeight="1" x14ac:dyDescent="0.25"/>
    <row r="635" ht="40.200000000000003" customHeight="1" x14ac:dyDescent="0.25"/>
    <row r="636" ht="40.200000000000003" customHeight="1" x14ac:dyDescent="0.25"/>
    <row r="637" ht="40.200000000000003" customHeight="1" x14ac:dyDescent="0.25"/>
    <row r="638" ht="40.200000000000003" customHeight="1" x14ac:dyDescent="0.25"/>
    <row r="639" ht="40.200000000000003" customHeight="1" x14ac:dyDescent="0.25"/>
    <row r="640" ht="40.200000000000003" customHeight="1" x14ac:dyDescent="0.25"/>
    <row r="641" ht="40.200000000000003" customHeight="1" x14ac:dyDescent="0.25"/>
    <row r="642" ht="40.200000000000003" customHeight="1" x14ac:dyDescent="0.25"/>
    <row r="643" ht="40.200000000000003" customHeight="1" x14ac:dyDescent="0.25"/>
    <row r="644" ht="40.200000000000003" customHeight="1" x14ac:dyDescent="0.25"/>
    <row r="645" ht="40.200000000000003" customHeight="1" x14ac:dyDescent="0.25"/>
    <row r="646" ht="40.200000000000003" customHeight="1" x14ac:dyDescent="0.25"/>
    <row r="647" ht="40.200000000000003" customHeight="1" x14ac:dyDescent="0.25"/>
    <row r="648" ht="40.200000000000003" customHeight="1" x14ac:dyDescent="0.25"/>
    <row r="649" ht="40.200000000000003" customHeight="1" x14ac:dyDescent="0.25"/>
    <row r="650" ht="40.200000000000003" customHeight="1" x14ac:dyDescent="0.25"/>
    <row r="651" ht="40.200000000000003" customHeight="1" x14ac:dyDescent="0.25"/>
    <row r="652" ht="40.200000000000003" customHeight="1" x14ac:dyDescent="0.25"/>
    <row r="653" ht="40.200000000000003" customHeight="1" x14ac:dyDescent="0.25"/>
    <row r="654" ht="40.200000000000003" customHeight="1" x14ac:dyDescent="0.25"/>
    <row r="655" ht="40.200000000000003" customHeight="1" x14ac:dyDescent="0.25"/>
    <row r="656" ht="40.200000000000003" customHeight="1" x14ac:dyDescent="0.25"/>
    <row r="657" ht="40.200000000000003" customHeight="1" x14ac:dyDescent="0.25"/>
    <row r="658" ht="40.200000000000003" customHeight="1" x14ac:dyDescent="0.25"/>
    <row r="659" ht="40.200000000000003" customHeight="1" x14ac:dyDescent="0.25"/>
    <row r="660" ht="40.200000000000003" customHeight="1" x14ac:dyDescent="0.25"/>
    <row r="661" ht="40.200000000000003" customHeight="1" x14ac:dyDescent="0.25"/>
    <row r="662" ht="40.200000000000003" customHeight="1" x14ac:dyDescent="0.25"/>
    <row r="663" ht="40.200000000000003" customHeight="1" x14ac:dyDescent="0.25"/>
    <row r="664" ht="40.200000000000003" customHeight="1" x14ac:dyDescent="0.25"/>
    <row r="665" ht="40.200000000000003" customHeight="1" x14ac:dyDescent="0.25"/>
    <row r="666" ht="40.200000000000003" customHeight="1" x14ac:dyDescent="0.25"/>
    <row r="667" ht="40.200000000000003" customHeight="1" x14ac:dyDescent="0.25"/>
    <row r="668" ht="40.200000000000003" customHeight="1" x14ac:dyDescent="0.25"/>
    <row r="669" ht="40.200000000000003" customHeight="1" x14ac:dyDescent="0.25"/>
    <row r="670" ht="40.200000000000003" customHeight="1" x14ac:dyDescent="0.25"/>
    <row r="671" ht="40.200000000000003" customHeight="1" x14ac:dyDescent="0.25"/>
    <row r="672" ht="40.200000000000003" customHeight="1" x14ac:dyDescent="0.25"/>
    <row r="673" ht="40.200000000000003" customHeight="1" x14ac:dyDescent="0.25"/>
    <row r="674" ht="40.200000000000003" customHeight="1" x14ac:dyDescent="0.25"/>
    <row r="675" ht="40.200000000000003" customHeight="1" x14ac:dyDescent="0.25"/>
    <row r="676" ht="40.200000000000003" customHeight="1" x14ac:dyDescent="0.25"/>
    <row r="677" ht="40.200000000000003" customHeight="1" x14ac:dyDescent="0.25"/>
    <row r="678" ht="40.200000000000003" customHeight="1" x14ac:dyDescent="0.25"/>
    <row r="679" ht="40.200000000000003" customHeight="1" x14ac:dyDescent="0.25"/>
    <row r="680" ht="40.200000000000003" customHeight="1" x14ac:dyDescent="0.25"/>
    <row r="681" ht="40.200000000000003" customHeight="1" x14ac:dyDescent="0.25"/>
    <row r="682" ht="40.200000000000003" customHeight="1" x14ac:dyDescent="0.25"/>
    <row r="683" ht="40.200000000000003" customHeight="1" x14ac:dyDescent="0.25"/>
    <row r="684" ht="40.200000000000003" customHeight="1" x14ac:dyDescent="0.25"/>
    <row r="685" ht="40.200000000000003" customHeight="1" x14ac:dyDescent="0.25"/>
    <row r="686" ht="40.200000000000003" customHeight="1" x14ac:dyDescent="0.25"/>
    <row r="687" ht="40.200000000000003" customHeight="1" x14ac:dyDescent="0.25"/>
    <row r="688" ht="40.200000000000003" customHeight="1" x14ac:dyDescent="0.25"/>
    <row r="689" ht="40.200000000000003" customHeight="1" x14ac:dyDescent="0.25"/>
    <row r="690" ht="40.200000000000003" customHeight="1" x14ac:dyDescent="0.25"/>
    <row r="691" ht="40.200000000000003" customHeight="1" x14ac:dyDescent="0.25"/>
    <row r="692" ht="40.200000000000003" customHeight="1" x14ac:dyDescent="0.25"/>
    <row r="693" ht="40.200000000000003" customHeight="1" x14ac:dyDescent="0.25"/>
    <row r="694" ht="40.200000000000003" customHeight="1" x14ac:dyDescent="0.25"/>
    <row r="695" ht="40.200000000000003" customHeight="1" x14ac:dyDescent="0.25"/>
    <row r="696" ht="40.200000000000003" customHeight="1" x14ac:dyDescent="0.25"/>
    <row r="697" ht="40.200000000000003" customHeight="1" x14ac:dyDescent="0.25"/>
    <row r="698" ht="40.200000000000003" customHeight="1" x14ac:dyDescent="0.25"/>
    <row r="699" ht="40.200000000000003" customHeight="1" x14ac:dyDescent="0.25"/>
    <row r="700" ht="40.200000000000003" customHeight="1" x14ac:dyDescent="0.25"/>
    <row r="701" ht="40.200000000000003" customHeight="1" x14ac:dyDescent="0.25"/>
    <row r="702" ht="40.200000000000003" customHeight="1" x14ac:dyDescent="0.25"/>
    <row r="703" ht="40.200000000000003" customHeight="1" x14ac:dyDescent="0.25"/>
    <row r="704" ht="40.200000000000003" customHeight="1" x14ac:dyDescent="0.25"/>
    <row r="705" ht="40.200000000000003" customHeight="1" x14ac:dyDescent="0.25"/>
    <row r="706" ht="40.200000000000003" customHeight="1" x14ac:dyDescent="0.25"/>
    <row r="707" ht="40.200000000000003" customHeight="1" x14ac:dyDescent="0.25"/>
    <row r="708" ht="40.200000000000003" customHeight="1" x14ac:dyDescent="0.25"/>
    <row r="709" ht="40.200000000000003" customHeight="1" x14ac:dyDescent="0.25"/>
    <row r="710" ht="40.200000000000003" customHeight="1" x14ac:dyDescent="0.25"/>
    <row r="711" ht="40.200000000000003" customHeight="1" x14ac:dyDescent="0.25"/>
    <row r="712" ht="40.200000000000003" customHeight="1" x14ac:dyDescent="0.25"/>
    <row r="713" ht="40.200000000000003" customHeight="1" x14ac:dyDescent="0.25"/>
    <row r="714" ht="40.200000000000003" customHeight="1" x14ac:dyDescent="0.25"/>
    <row r="715" ht="40.200000000000003" customHeight="1" x14ac:dyDescent="0.25"/>
    <row r="716" ht="40.200000000000003" customHeight="1" x14ac:dyDescent="0.25"/>
    <row r="717" ht="40.200000000000003" customHeight="1" x14ac:dyDescent="0.25"/>
    <row r="718" ht="40.200000000000003" customHeight="1" x14ac:dyDescent="0.25"/>
    <row r="719" ht="40.200000000000003" customHeight="1" x14ac:dyDescent="0.25"/>
    <row r="720" ht="40.200000000000003" customHeight="1" x14ac:dyDescent="0.25"/>
    <row r="721" ht="40.200000000000003" customHeight="1" x14ac:dyDescent="0.25"/>
    <row r="722" ht="40.200000000000003" customHeight="1" x14ac:dyDescent="0.25"/>
    <row r="723" ht="40.200000000000003" customHeight="1" x14ac:dyDescent="0.25"/>
    <row r="724" ht="40.200000000000003" customHeight="1" x14ac:dyDescent="0.25"/>
    <row r="725" ht="40.200000000000003" customHeight="1" x14ac:dyDescent="0.25"/>
    <row r="726" ht="40.200000000000003" customHeight="1" x14ac:dyDescent="0.25"/>
    <row r="727" ht="40.200000000000003" customHeight="1" x14ac:dyDescent="0.25"/>
    <row r="728" ht="40.200000000000003" customHeight="1" x14ac:dyDescent="0.25"/>
    <row r="729" ht="40.200000000000003" customHeight="1" x14ac:dyDescent="0.25"/>
    <row r="730" ht="40.200000000000003" customHeight="1" x14ac:dyDescent="0.25"/>
    <row r="731" ht="40.200000000000003" customHeight="1" x14ac:dyDescent="0.25"/>
    <row r="732" ht="40.200000000000003" customHeight="1" x14ac:dyDescent="0.25"/>
    <row r="733" ht="40.200000000000003" customHeight="1" x14ac:dyDescent="0.25"/>
    <row r="734" ht="40.200000000000003" customHeight="1" x14ac:dyDescent="0.25"/>
    <row r="735" ht="40.200000000000003" customHeight="1" x14ac:dyDescent="0.25"/>
    <row r="736" ht="40.200000000000003" customHeight="1" x14ac:dyDescent="0.25"/>
    <row r="737" ht="40.200000000000003" customHeight="1" x14ac:dyDescent="0.25"/>
    <row r="738" ht="40.200000000000003" customHeight="1" x14ac:dyDescent="0.25"/>
    <row r="739" ht="40.200000000000003" customHeight="1" x14ac:dyDescent="0.25"/>
    <row r="740" ht="40.200000000000003" customHeight="1" x14ac:dyDescent="0.25"/>
    <row r="741" ht="40.200000000000003" customHeight="1" x14ac:dyDescent="0.25"/>
    <row r="742" ht="40.200000000000003" customHeight="1" x14ac:dyDescent="0.25"/>
    <row r="743" ht="40.200000000000003" customHeight="1" x14ac:dyDescent="0.25"/>
    <row r="744" ht="40.200000000000003" customHeight="1" x14ac:dyDescent="0.25"/>
    <row r="745" ht="40.200000000000003" customHeight="1" x14ac:dyDescent="0.25"/>
    <row r="746" ht="40.200000000000003" customHeight="1" x14ac:dyDescent="0.25"/>
    <row r="747" ht="40.200000000000003" customHeight="1" x14ac:dyDescent="0.25"/>
    <row r="748" ht="40.200000000000003" customHeight="1" x14ac:dyDescent="0.25"/>
    <row r="749" ht="40.200000000000003" customHeight="1" x14ac:dyDescent="0.25"/>
    <row r="750" ht="40.200000000000003" customHeight="1" x14ac:dyDescent="0.25"/>
    <row r="751" ht="40.200000000000003" customHeight="1" x14ac:dyDescent="0.25"/>
    <row r="752" ht="40.200000000000003" customHeight="1" x14ac:dyDescent="0.25"/>
    <row r="753" ht="40.200000000000003" customHeight="1" x14ac:dyDescent="0.25"/>
    <row r="754" ht="40.200000000000003" customHeight="1" x14ac:dyDescent="0.25"/>
    <row r="755" ht="40.200000000000003" customHeight="1" x14ac:dyDescent="0.25"/>
    <row r="756" ht="40.200000000000003" customHeight="1" x14ac:dyDescent="0.25"/>
    <row r="757" ht="40.200000000000003" customHeight="1" x14ac:dyDescent="0.25"/>
    <row r="758" ht="40.200000000000003" customHeight="1" x14ac:dyDescent="0.25"/>
    <row r="759" ht="40.200000000000003" customHeight="1" x14ac:dyDescent="0.25"/>
    <row r="760" ht="40.200000000000003" customHeight="1" x14ac:dyDescent="0.25"/>
    <row r="761" ht="40.200000000000003" customHeight="1" x14ac:dyDescent="0.25"/>
    <row r="762" ht="40.200000000000003" customHeight="1" x14ac:dyDescent="0.25"/>
    <row r="763" ht="40.200000000000003" customHeight="1" x14ac:dyDescent="0.25"/>
    <row r="764" ht="40.200000000000003" customHeight="1" x14ac:dyDescent="0.25"/>
    <row r="765" ht="40.200000000000003" customHeight="1" x14ac:dyDescent="0.25"/>
    <row r="766" ht="40.200000000000003" customHeight="1" x14ac:dyDescent="0.25"/>
    <row r="767" ht="40.200000000000003" customHeight="1" x14ac:dyDescent="0.25"/>
    <row r="768" ht="40.200000000000003" customHeight="1" x14ac:dyDescent="0.25"/>
    <row r="769" ht="40.200000000000003" customHeight="1" x14ac:dyDescent="0.25"/>
    <row r="770" ht="40.200000000000003" customHeight="1" x14ac:dyDescent="0.25"/>
    <row r="771" ht="40.200000000000003" customHeight="1" x14ac:dyDescent="0.25"/>
    <row r="772" ht="40.200000000000003" customHeight="1" x14ac:dyDescent="0.25"/>
    <row r="773" ht="40.200000000000003" customHeight="1" x14ac:dyDescent="0.25"/>
    <row r="774" ht="40.200000000000003" customHeight="1" x14ac:dyDescent="0.25"/>
    <row r="775" ht="40.200000000000003" customHeight="1" x14ac:dyDescent="0.25"/>
    <row r="776" ht="40.200000000000003" customHeight="1" x14ac:dyDescent="0.25"/>
    <row r="777" ht="40.200000000000003" customHeight="1" x14ac:dyDescent="0.25"/>
    <row r="778" ht="40.200000000000003" customHeight="1" x14ac:dyDescent="0.25"/>
    <row r="779" ht="40.200000000000003" customHeight="1" x14ac:dyDescent="0.25"/>
    <row r="780" ht="40.200000000000003" customHeight="1" x14ac:dyDescent="0.25"/>
    <row r="781" ht="40.200000000000003" customHeight="1" x14ac:dyDescent="0.25"/>
    <row r="782" ht="40.200000000000003" customHeight="1" x14ac:dyDescent="0.25"/>
    <row r="783" ht="40.200000000000003" customHeight="1" x14ac:dyDescent="0.25"/>
    <row r="784" ht="40.200000000000003" customHeight="1" x14ac:dyDescent="0.25"/>
    <row r="785" ht="40.200000000000003" customHeight="1" x14ac:dyDescent="0.25"/>
    <row r="786" ht="40.200000000000003" customHeight="1" x14ac:dyDescent="0.25"/>
    <row r="787" ht="40.200000000000003" customHeight="1" x14ac:dyDescent="0.25"/>
    <row r="788" ht="40.200000000000003" customHeight="1" x14ac:dyDescent="0.25"/>
    <row r="789" ht="40.200000000000003" customHeight="1" x14ac:dyDescent="0.25"/>
    <row r="790" ht="40.200000000000003" customHeight="1" x14ac:dyDescent="0.25"/>
    <row r="791" ht="40.200000000000003" customHeight="1" x14ac:dyDescent="0.25"/>
    <row r="792" ht="40.200000000000003" customHeight="1" x14ac:dyDescent="0.25"/>
    <row r="793" ht="40.200000000000003" customHeight="1" x14ac:dyDescent="0.25"/>
    <row r="794" ht="40.200000000000003" customHeight="1" x14ac:dyDescent="0.25"/>
    <row r="795" ht="40.200000000000003" customHeight="1" x14ac:dyDescent="0.25"/>
    <row r="796" ht="40.200000000000003" customHeight="1" x14ac:dyDescent="0.25"/>
    <row r="797" ht="40.200000000000003" customHeight="1" x14ac:dyDescent="0.25"/>
    <row r="798" ht="40.200000000000003" customHeight="1" x14ac:dyDescent="0.25"/>
    <row r="799" ht="40.200000000000003" customHeight="1" x14ac:dyDescent="0.25"/>
    <row r="800" ht="40.200000000000003" customHeight="1" x14ac:dyDescent="0.25"/>
    <row r="801" ht="40.200000000000003" customHeight="1" x14ac:dyDescent="0.25"/>
    <row r="802" ht="40.200000000000003" customHeight="1" x14ac:dyDescent="0.25"/>
    <row r="803" ht="40.200000000000003" customHeight="1" x14ac:dyDescent="0.25"/>
    <row r="804" ht="40.200000000000003" customHeight="1" x14ac:dyDescent="0.25"/>
    <row r="805" ht="40.200000000000003" customHeight="1" x14ac:dyDescent="0.25"/>
    <row r="806" ht="40.200000000000003" customHeight="1" x14ac:dyDescent="0.25"/>
    <row r="807" ht="40.200000000000003" customHeight="1" x14ac:dyDescent="0.25"/>
    <row r="808" ht="40.200000000000003" customHeight="1" x14ac:dyDescent="0.25"/>
    <row r="809" ht="40.200000000000003" customHeight="1" x14ac:dyDescent="0.25"/>
    <row r="810" ht="40.200000000000003" customHeight="1" x14ac:dyDescent="0.25"/>
    <row r="811" ht="40.200000000000003" customHeight="1" x14ac:dyDescent="0.25"/>
    <row r="812" ht="40.200000000000003" customHeight="1" x14ac:dyDescent="0.25"/>
    <row r="813" ht="40.200000000000003" customHeight="1" x14ac:dyDescent="0.25"/>
    <row r="814" ht="40.200000000000003" customHeight="1" x14ac:dyDescent="0.25"/>
    <row r="815" ht="40.200000000000003" customHeight="1" x14ac:dyDescent="0.25"/>
    <row r="816" ht="40.200000000000003" customHeight="1" x14ac:dyDescent="0.25"/>
    <row r="817" ht="40.200000000000003" customHeight="1" x14ac:dyDescent="0.25"/>
    <row r="818" ht="40.200000000000003" customHeight="1" x14ac:dyDescent="0.25"/>
    <row r="819" ht="40.200000000000003" customHeight="1" x14ac:dyDescent="0.25"/>
    <row r="820" ht="40.200000000000003" customHeight="1" x14ac:dyDescent="0.25"/>
    <row r="821" ht="40.200000000000003" customHeight="1" x14ac:dyDescent="0.25"/>
    <row r="822" ht="40.200000000000003" customHeight="1" x14ac:dyDescent="0.25"/>
    <row r="823" ht="40.200000000000003" customHeight="1" x14ac:dyDescent="0.25"/>
    <row r="824" ht="40.200000000000003" customHeight="1" x14ac:dyDescent="0.25"/>
    <row r="825" ht="40.200000000000003" customHeight="1" x14ac:dyDescent="0.25"/>
    <row r="826" ht="40.200000000000003" customHeight="1" x14ac:dyDescent="0.25"/>
    <row r="827" ht="40.200000000000003" customHeight="1" x14ac:dyDescent="0.25"/>
    <row r="828" ht="40.200000000000003" customHeight="1" x14ac:dyDescent="0.25"/>
    <row r="829" ht="40.200000000000003" customHeight="1" x14ac:dyDescent="0.25"/>
    <row r="830" ht="40.200000000000003" customHeight="1" x14ac:dyDescent="0.25"/>
    <row r="831" ht="40.200000000000003" customHeight="1" x14ac:dyDescent="0.25"/>
    <row r="832" ht="40.200000000000003" customHeight="1" x14ac:dyDescent="0.25"/>
    <row r="833" ht="40.200000000000003" customHeight="1" x14ac:dyDescent="0.25"/>
    <row r="834" ht="40.200000000000003" customHeight="1" x14ac:dyDescent="0.25"/>
    <row r="835" ht="40.200000000000003" customHeight="1" x14ac:dyDescent="0.25"/>
    <row r="836" ht="40.200000000000003" customHeight="1" x14ac:dyDescent="0.25"/>
    <row r="837" ht="40.200000000000003" customHeight="1" x14ac:dyDescent="0.25"/>
    <row r="838" ht="40.200000000000003" customHeight="1" x14ac:dyDescent="0.25"/>
    <row r="839" ht="40.200000000000003" customHeight="1" x14ac:dyDescent="0.25"/>
    <row r="840" ht="40.200000000000003" customHeight="1" x14ac:dyDescent="0.25"/>
    <row r="841" ht="40.200000000000003" customHeight="1" x14ac:dyDescent="0.25"/>
    <row r="842" ht="40.200000000000003" customHeight="1" x14ac:dyDescent="0.25"/>
    <row r="843" ht="40.200000000000003" customHeight="1" x14ac:dyDescent="0.25"/>
    <row r="844" ht="40.200000000000003" customHeight="1" x14ac:dyDescent="0.25"/>
    <row r="845" ht="40.200000000000003" customHeight="1" x14ac:dyDescent="0.25"/>
    <row r="846" ht="40.200000000000003" customHeight="1" x14ac:dyDescent="0.25"/>
    <row r="847" ht="40.200000000000003" customHeight="1" x14ac:dyDescent="0.25"/>
    <row r="848" ht="40.200000000000003" customHeight="1" x14ac:dyDescent="0.25"/>
    <row r="849" ht="40.200000000000003" customHeight="1" x14ac:dyDescent="0.25"/>
    <row r="850" ht="40.200000000000003" customHeight="1" x14ac:dyDescent="0.25"/>
    <row r="851" ht="40.200000000000003" customHeight="1" x14ac:dyDescent="0.25"/>
    <row r="852" ht="40.200000000000003" customHeight="1" x14ac:dyDescent="0.25"/>
    <row r="853" ht="40.200000000000003" customHeight="1" x14ac:dyDescent="0.25"/>
    <row r="854" ht="40.200000000000003" customHeight="1" x14ac:dyDescent="0.25"/>
    <row r="855" ht="40.200000000000003" customHeight="1" x14ac:dyDescent="0.25"/>
    <row r="856" ht="40.200000000000003" customHeight="1" x14ac:dyDescent="0.25"/>
    <row r="857" ht="40.200000000000003" customHeight="1" x14ac:dyDescent="0.25"/>
    <row r="858" ht="40.200000000000003" customHeight="1" x14ac:dyDescent="0.25"/>
    <row r="859" ht="40.200000000000003" customHeight="1" x14ac:dyDescent="0.25"/>
    <row r="860" ht="40.200000000000003" customHeight="1" x14ac:dyDescent="0.25"/>
    <row r="861" ht="40.200000000000003" customHeight="1" x14ac:dyDescent="0.25"/>
    <row r="862" ht="40.200000000000003" customHeight="1" x14ac:dyDescent="0.25"/>
    <row r="863" ht="40.200000000000003" customHeight="1" x14ac:dyDescent="0.25"/>
    <row r="864" ht="40.200000000000003" customHeight="1" x14ac:dyDescent="0.25"/>
    <row r="865" ht="40.200000000000003" customHeight="1" x14ac:dyDescent="0.25"/>
    <row r="866" ht="40.200000000000003" customHeight="1" x14ac:dyDescent="0.25"/>
    <row r="867" ht="40.200000000000003" customHeight="1" x14ac:dyDescent="0.25"/>
    <row r="868" ht="40.200000000000003" customHeight="1" x14ac:dyDescent="0.25"/>
    <row r="869" ht="40.200000000000003" customHeight="1" x14ac:dyDescent="0.25"/>
    <row r="870" ht="40.200000000000003" customHeight="1" x14ac:dyDescent="0.25"/>
    <row r="871" ht="40.200000000000003" customHeight="1" x14ac:dyDescent="0.25"/>
    <row r="872" ht="40.200000000000003" customHeight="1" x14ac:dyDescent="0.25"/>
    <row r="873" ht="40.200000000000003" customHeight="1" x14ac:dyDescent="0.25"/>
    <row r="874" ht="40.200000000000003" customHeight="1" x14ac:dyDescent="0.25"/>
    <row r="875" ht="40.200000000000003" customHeight="1" x14ac:dyDescent="0.25"/>
    <row r="876" ht="40.200000000000003" customHeight="1" x14ac:dyDescent="0.25"/>
    <row r="877" ht="40.200000000000003" customHeight="1" x14ac:dyDescent="0.25"/>
    <row r="878" ht="40.200000000000003" customHeight="1" x14ac:dyDescent="0.25"/>
    <row r="879" ht="40.200000000000003" customHeight="1" x14ac:dyDescent="0.25"/>
    <row r="880" ht="40.200000000000003" customHeight="1" x14ac:dyDescent="0.25"/>
    <row r="881" ht="40.200000000000003" customHeight="1" x14ac:dyDescent="0.25"/>
    <row r="882" ht="40.200000000000003" customHeight="1" x14ac:dyDescent="0.25"/>
    <row r="883" ht="40.200000000000003" customHeight="1" x14ac:dyDescent="0.25"/>
    <row r="884" ht="40.200000000000003" customHeight="1" x14ac:dyDescent="0.25"/>
    <row r="885" ht="40.200000000000003" customHeight="1" x14ac:dyDescent="0.25"/>
    <row r="886" ht="40.200000000000003" customHeight="1" x14ac:dyDescent="0.25"/>
    <row r="887" ht="40.200000000000003" customHeight="1" x14ac:dyDescent="0.25"/>
    <row r="888" ht="40.200000000000003" customHeight="1" x14ac:dyDescent="0.25"/>
    <row r="889" ht="40.200000000000003" customHeight="1" x14ac:dyDescent="0.25"/>
    <row r="890" ht="40.200000000000003" customHeight="1" x14ac:dyDescent="0.25"/>
    <row r="891" ht="40.200000000000003" customHeight="1" x14ac:dyDescent="0.25"/>
    <row r="892" ht="40.200000000000003" customHeight="1" x14ac:dyDescent="0.25"/>
    <row r="893" ht="40.200000000000003" customHeight="1" x14ac:dyDescent="0.25"/>
    <row r="894" ht="40.200000000000003" customHeight="1" x14ac:dyDescent="0.25"/>
    <row r="895" ht="40.200000000000003" customHeight="1" x14ac:dyDescent="0.25"/>
    <row r="896" ht="40.200000000000003" customHeight="1" x14ac:dyDescent="0.25"/>
    <row r="897" ht="40.200000000000003" customHeight="1" x14ac:dyDescent="0.25"/>
    <row r="898" ht="40.200000000000003" customHeight="1" x14ac:dyDescent="0.25"/>
    <row r="899" ht="40.200000000000003" customHeight="1" x14ac:dyDescent="0.25"/>
    <row r="900" ht="40.200000000000003" customHeight="1" x14ac:dyDescent="0.25"/>
    <row r="901" ht="40.200000000000003" customHeight="1" x14ac:dyDescent="0.25"/>
    <row r="902" ht="40.200000000000003" customHeight="1" x14ac:dyDescent="0.25"/>
    <row r="903" ht="40.200000000000003" customHeight="1" x14ac:dyDescent="0.25"/>
    <row r="904" ht="40.200000000000003" customHeight="1" x14ac:dyDescent="0.25"/>
    <row r="905" ht="40.200000000000003" customHeight="1" x14ac:dyDescent="0.25"/>
    <row r="906" ht="40.200000000000003" customHeight="1" x14ac:dyDescent="0.25"/>
    <row r="907" ht="40.200000000000003" customHeight="1" x14ac:dyDescent="0.25"/>
    <row r="908" ht="40.200000000000003" customHeight="1" x14ac:dyDescent="0.25"/>
    <row r="909" ht="40.200000000000003" customHeight="1" x14ac:dyDescent="0.25"/>
    <row r="910" ht="40.200000000000003" customHeight="1" x14ac:dyDescent="0.25"/>
    <row r="911" ht="40.200000000000003" customHeight="1" x14ac:dyDescent="0.25"/>
    <row r="912" ht="40.200000000000003" customHeight="1" x14ac:dyDescent="0.25"/>
    <row r="913" ht="40.200000000000003" customHeight="1" x14ac:dyDescent="0.25"/>
    <row r="914" ht="40.200000000000003" customHeight="1" x14ac:dyDescent="0.25"/>
    <row r="915" ht="40.200000000000003" customHeight="1" x14ac:dyDescent="0.25"/>
    <row r="916" ht="40.200000000000003" customHeight="1" x14ac:dyDescent="0.25"/>
    <row r="917" ht="40.200000000000003" customHeight="1" x14ac:dyDescent="0.25"/>
    <row r="918" ht="40.200000000000003" customHeight="1" x14ac:dyDescent="0.25"/>
    <row r="919" ht="40.200000000000003" customHeight="1" x14ac:dyDescent="0.25"/>
    <row r="920" ht="40.200000000000003" customHeight="1" x14ac:dyDescent="0.25"/>
    <row r="921" ht="40.200000000000003" customHeight="1" x14ac:dyDescent="0.25"/>
    <row r="922" ht="40.200000000000003" customHeight="1" x14ac:dyDescent="0.25"/>
    <row r="923" ht="40.200000000000003" customHeight="1" x14ac:dyDescent="0.25"/>
    <row r="924" ht="40.200000000000003" customHeight="1" x14ac:dyDescent="0.25"/>
    <row r="925" ht="40.200000000000003" customHeight="1" x14ac:dyDescent="0.25"/>
    <row r="926" ht="40.200000000000003" customHeight="1" x14ac:dyDescent="0.25"/>
    <row r="927" ht="40.200000000000003" customHeight="1" x14ac:dyDescent="0.25"/>
    <row r="928" ht="40.200000000000003" customHeight="1" x14ac:dyDescent="0.25"/>
    <row r="929" ht="40.200000000000003" customHeight="1" x14ac:dyDescent="0.25"/>
    <row r="930" ht="40.200000000000003" customHeight="1" x14ac:dyDescent="0.25"/>
    <row r="931" ht="40.200000000000003" customHeight="1" x14ac:dyDescent="0.25"/>
    <row r="932" ht="40.200000000000003" customHeight="1" x14ac:dyDescent="0.25"/>
    <row r="933" ht="40.200000000000003" customHeight="1" x14ac:dyDescent="0.25"/>
    <row r="934" ht="40.200000000000003" customHeight="1" x14ac:dyDescent="0.25"/>
    <row r="935" ht="40.200000000000003" customHeight="1" x14ac:dyDescent="0.25"/>
    <row r="936" ht="40.200000000000003" customHeight="1" x14ac:dyDescent="0.25"/>
    <row r="937" ht="40.200000000000003" customHeight="1" x14ac:dyDescent="0.25"/>
    <row r="938" ht="40.200000000000003" customHeight="1" x14ac:dyDescent="0.25"/>
    <row r="939" ht="40.200000000000003" customHeight="1" x14ac:dyDescent="0.25"/>
    <row r="940" ht="40.200000000000003" customHeight="1" x14ac:dyDescent="0.25"/>
    <row r="941" ht="40.200000000000003" customHeight="1" x14ac:dyDescent="0.25"/>
    <row r="942" ht="40.200000000000003" customHeight="1" x14ac:dyDescent="0.25"/>
    <row r="943" ht="40.200000000000003" customHeight="1" x14ac:dyDescent="0.25"/>
    <row r="944" ht="40.200000000000003" customHeight="1" x14ac:dyDescent="0.25"/>
    <row r="945" ht="40.200000000000003" customHeight="1" x14ac:dyDescent="0.25"/>
    <row r="946" ht="40.200000000000003" customHeight="1" x14ac:dyDescent="0.25"/>
    <row r="947" ht="40.200000000000003" customHeight="1" x14ac:dyDescent="0.25"/>
    <row r="948" ht="40.200000000000003" customHeight="1" x14ac:dyDescent="0.25"/>
    <row r="949" ht="40.200000000000003" customHeight="1" x14ac:dyDescent="0.25"/>
    <row r="950" ht="40.200000000000003" customHeight="1" x14ac:dyDescent="0.25"/>
    <row r="951" ht="40.200000000000003" customHeight="1" x14ac:dyDescent="0.25"/>
    <row r="952" ht="40.200000000000003" customHeight="1" x14ac:dyDescent="0.25"/>
    <row r="953" ht="40.200000000000003" customHeight="1" x14ac:dyDescent="0.25"/>
    <row r="954" ht="40.200000000000003" customHeight="1" x14ac:dyDescent="0.25"/>
    <row r="955" ht="40.200000000000003" customHeight="1" x14ac:dyDescent="0.25"/>
    <row r="956" ht="40.200000000000003" customHeight="1" x14ac:dyDescent="0.25"/>
    <row r="957" ht="40.200000000000003" customHeight="1" x14ac:dyDescent="0.25"/>
    <row r="958" ht="40.200000000000003" customHeight="1" x14ac:dyDescent="0.25"/>
    <row r="959" ht="40.200000000000003" customHeight="1" x14ac:dyDescent="0.25"/>
    <row r="960" ht="40.200000000000003" customHeight="1" x14ac:dyDescent="0.25"/>
    <row r="961" ht="40.200000000000003" customHeight="1" x14ac:dyDescent="0.25"/>
    <row r="962" ht="40.200000000000003" customHeight="1" x14ac:dyDescent="0.25"/>
    <row r="963" ht="40.200000000000003" customHeight="1" x14ac:dyDescent="0.25"/>
    <row r="964" ht="40.200000000000003" customHeight="1" x14ac:dyDescent="0.25"/>
    <row r="965" ht="40.200000000000003" customHeight="1" x14ac:dyDescent="0.25"/>
    <row r="966" ht="40.200000000000003" customHeight="1" x14ac:dyDescent="0.25"/>
    <row r="967" ht="40.200000000000003" customHeight="1" x14ac:dyDescent="0.25"/>
    <row r="968" ht="40.200000000000003" customHeight="1" x14ac:dyDescent="0.25"/>
    <row r="969" ht="40.200000000000003" customHeight="1" x14ac:dyDescent="0.25"/>
    <row r="970" ht="40.200000000000003" customHeight="1" x14ac:dyDescent="0.25"/>
    <row r="971" ht="40.200000000000003" customHeight="1" x14ac:dyDescent="0.25"/>
    <row r="972" ht="40.200000000000003" customHeight="1" x14ac:dyDescent="0.25"/>
    <row r="973" ht="40.200000000000003" customHeight="1" x14ac:dyDescent="0.25"/>
    <row r="974" ht="40.200000000000003" customHeight="1" x14ac:dyDescent="0.25"/>
    <row r="975" ht="40.200000000000003" customHeight="1" x14ac:dyDescent="0.25"/>
    <row r="976" ht="40.200000000000003" customHeight="1" x14ac:dyDescent="0.25"/>
    <row r="977" ht="40.200000000000003" customHeight="1" x14ac:dyDescent="0.25"/>
    <row r="978" ht="40.200000000000003" customHeight="1" x14ac:dyDescent="0.25"/>
    <row r="979" ht="40.200000000000003" customHeight="1" x14ac:dyDescent="0.25"/>
    <row r="980" ht="40.200000000000003" customHeight="1" x14ac:dyDescent="0.25"/>
    <row r="981" ht="40.200000000000003" customHeight="1" x14ac:dyDescent="0.25"/>
    <row r="982" ht="40.200000000000003" customHeight="1" x14ac:dyDescent="0.25"/>
    <row r="983" ht="40.200000000000003" customHeight="1" x14ac:dyDescent="0.25"/>
    <row r="984" ht="40.200000000000003" customHeight="1" x14ac:dyDescent="0.25"/>
    <row r="985" ht="40.200000000000003" customHeight="1" x14ac:dyDescent="0.25"/>
    <row r="986" ht="40.200000000000003" customHeight="1" x14ac:dyDescent="0.25"/>
    <row r="987" ht="40.200000000000003" customHeight="1" x14ac:dyDescent="0.25"/>
    <row r="988" ht="40.200000000000003" customHeight="1" x14ac:dyDescent="0.25"/>
    <row r="989" ht="40.200000000000003" customHeight="1" x14ac:dyDescent="0.25"/>
    <row r="990" ht="40.200000000000003" customHeight="1" x14ac:dyDescent="0.25"/>
    <row r="991" ht="40.200000000000003" customHeight="1" x14ac:dyDescent="0.25"/>
    <row r="992" ht="40.200000000000003" customHeight="1" x14ac:dyDescent="0.25"/>
    <row r="993" ht="40.200000000000003" customHeight="1" x14ac:dyDescent="0.25"/>
    <row r="994" ht="40.200000000000003" customHeight="1" x14ac:dyDescent="0.25"/>
    <row r="995" ht="40.200000000000003" customHeight="1" x14ac:dyDescent="0.25"/>
    <row r="996" ht="40.200000000000003" customHeight="1" x14ac:dyDescent="0.25"/>
    <row r="997" ht="40.200000000000003" customHeight="1" x14ac:dyDescent="0.25"/>
    <row r="998" ht="40.200000000000003" customHeight="1" x14ac:dyDescent="0.25"/>
    <row r="999" ht="40.200000000000003" customHeight="1" x14ac:dyDescent="0.25"/>
    <row r="1000" ht="40.200000000000003" customHeight="1" x14ac:dyDescent="0.25"/>
    <row r="1001" ht="40.200000000000003" customHeight="1" x14ac:dyDescent="0.25"/>
    <row r="1002" ht="40.200000000000003" customHeight="1" x14ac:dyDescent="0.25"/>
    <row r="1003" ht="40.200000000000003" customHeight="1" x14ac:dyDescent="0.25"/>
    <row r="1004" ht="40.200000000000003" customHeight="1" x14ac:dyDescent="0.25"/>
    <row r="1005" ht="40.200000000000003" customHeight="1" x14ac:dyDescent="0.25"/>
    <row r="1006" ht="40.200000000000003" customHeight="1" x14ac:dyDescent="0.25"/>
    <row r="1007" ht="40.200000000000003" customHeight="1" x14ac:dyDescent="0.25"/>
    <row r="1008" ht="40.200000000000003" customHeight="1" x14ac:dyDescent="0.25"/>
    <row r="1009" ht="40.200000000000003" customHeight="1" x14ac:dyDescent="0.25"/>
    <row r="1010" ht="40.200000000000003" customHeight="1" x14ac:dyDescent="0.25"/>
    <row r="1011" ht="40.200000000000003" customHeight="1" x14ac:dyDescent="0.25"/>
    <row r="1012" ht="40.200000000000003" customHeight="1" x14ac:dyDescent="0.25"/>
    <row r="1013" ht="40.200000000000003" customHeight="1" x14ac:dyDescent="0.25"/>
    <row r="1014" ht="40.200000000000003" customHeight="1" x14ac:dyDescent="0.25"/>
    <row r="1015" ht="40.200000000000003" customHeight="1" x14ac:dyDescent="0.25"/>
    <row r="1016" ht="40.200000000000003" customHeight="1" x14ac:dyDescent="0.25"/>
    <row r="1017" ht="40.200000000000003" customHeight="1" x14ac:dyDescent="0.25"/>
    <row r="1018" ht="40.200000000000003" customHeight="1" x14ac:dyDescent="0.25"/>
    <row r="1019" ht="40.200000000000003" customHeight="1" x14ac:dyDescent="0.25"/>
    <row r="1020" ht="40.200000000000003" customHeight="1" x14ac:dyDescent="0.25"/>
    <row r="1021" ht="40.200000000000003" customHeight="1" x14ac:dyDescent="0.25"/>
    <row r="1022" ht="40.200000000000003" customHeight="1" x14ac:dyDescent="0.25"/>
    <row r="1023" ht="40.200000000000003" customHeight="1" x14ac:dyDescent="0.25"/>
    <row r="1024" ht="40.200000000000003" customHeight="1" x14ac:dyDescent="0.25"/>
    <row r="1025" ht="40.200000000000003" customHeight="1" x14ac:dyDescent="0.25"/>
    <row r="1026" ht="40.200000000000003" customHeight="1" x14ac:dyDescent="0.25"/>
    <row r="1027" ht="40.200000000000003" customHeight="1" x14ac:dyDescent="0.25"/>
    <row r="1028" ht="40.200000000000003" customHeight="1" x14ac:dyDescent="0.25"/>
    <row r="1029" ht="40.200000000000003" customHeight="1" x14ac:dyDescent="0.25"/>
    <row r="1030" ht="40.200000000000003" customHeight="1" x14ac:dyDescent="0.25"/>
    <row r="1031" ht="40.200000000000003" customHeight="1" x14ac:dyDescent="0.25"/>
    <row r="1032" ht="40.200000000000003" customHeight="1" x14ac:dyDescent="0.25"/>
    <row r="1033" ht="40.200000000000003" customHeight="1" x14ac:dyDescent="0.25"/>
    <row r="1034" ht="40.200000000000003" customHeight="1" x14ac:dyDescent="0.25"/>
    <row r="1035" ht="40.200000000000003" customHeight="1" x14ac:dyDescent="0.25"/>
    <row r="1036" ht="40.200000000000003" customHeight="1" x14ac:dyDescent="0.25"/>
    <row r="1037" ht="40.200000000000003" customHeight="1" x14ac:dyDescent="0.25"/>
    <row r="1038" ht="40.200000000000003" customHeight="1" x14ac:dyDescent="0.25"/>
    <row r="1039" ht="40.200000000000003" customHeight="1" x14ac:dyDescent="0.25"/>
    <row r="1040" ht="40.200000000000003" customHeight="1" x14ac:dyDescent="0.25"/>
    <row r="1041" ht="40.200000000000003" customHeight="1" x14ac:dyDescent="0.25"/>
    <row r="1042" ht="40.200000000000003" customHeight="1" x14ac:dyDescent="0.25"/>
    <row r="1043" ht="40.200000000000003" customHeight="1" x14ac:dyDescent="0.25"/>
    <row r="1044" ht="40.200000000000003" customHeight="1" x14ac:dyDescent="0.25"/>
    <row r="1045" ht="40.200000000000003" customHeight="1" x14ac:dyDescent="0.25"/>
    <row r="1046" ht="40.200000000000003" customHeight="1" x14ac:dyDescent="0.25"/>
    <row r="1047" ht="40.200000000000003" customHeight="1" x14ac:dyDescent="0.25"/>
    <row r="1048" ht="40.200000000000003" customHeight="1" x14ac:dyDescent="0.25"/>
    <row r="1049" ht="40.200000000000003" customHeight="1" x14ac:dyDescent="0.25"/>
    <row r="1050" ht="40.200000000000003" customHeight="1" x14ac:dyDescent="0.25"/>
    <row r="1051" ht="40.200000000000003" customHeight="1" x14ac:dyDescent="0.25"/>
    <row r="1052" ht="40.200000000000003" customHeight="1" x14ac:dyDescent="0.25"/>
    <row r="1053" ht="40.200000000000003" customHeight="1" x14ac:dyDescent="0.25"/>
    <row r="1054" ht="40.200000000000003" customHeight="1" x14ac:dyDescent="0.25"/>
    <row r="1055" ht="40.200000000000003" customHeight="1" x14ac:dyDescent="0.25"/>
    <row r="1056" ht="40.200000000000003" customHeight="1" x14ac:dyDescent="0.25"/>
    <row r="1057" ht="40.200000000000003" customHeight="1" x14ac:dyDescent="0.25"/>
    <row r="1058" ht="40.200000000000003" customHeight="1" x14ac:dyDescent="0.25"/>
    <row r="1059" ht="40.200000000000003" customHeight="1" x14ac:dyDescent="0.25"/>
    <row r="1060" ht="40.200000000000003" customHeight="1" x14ac:dyDescent="0.25"/>
    <row r="1061" ht="40.200000000000003" customHeight="1" x14ac:dyDescent="0.25"/>
    <row r="1062" ht="40.200000000000003" customHeight="1" x14ac:dyDescent="0.25"/>
    <row r="1063" ht="40.200000000000003" customHeight="1" x14ac:dyDescent="0.25"/>
    <row r="1064" ht="40.200000000000003" customHeight="1" x14ac:dyDescent="0.25"/>
    <row r="1065" ht="40.200000000000003" customHeight="1" x14ac:dyDescent="0.25"/>
    <row r="1066" ht="40.200000000000003" customHeight="1" x14ac:dyDescent="0.25"/>
    <row r="1067" ht="40.200000000000003" customHeight="1" x14ac:dyDescent="0.25"/>
    <row r="1068" ht="40.200000000000003" customHeight="1" x14ac:dyDescent="0.25"/>
    <row r="1069" ht="40.200000000000003" customHeight="1" x14ac:dyDescent="0.25"/>
    <row r="1070" ht="40.200000000000003" customHeight="1" x14ac:dyDescent="0.25"/>
    <row r="1071" ht="40.200000000000003" customHeight="1" x14ac:dyDescent="0.25"/>
    <row r="1072" ht="40.200000000000003" customHeight="1" x14ac:dyDescent="0.25"/>
    <row r="1073" ht="40.200000000000003" customHeight="1" x14ac:dyDescent="0.25"/>
    <row r="1074" ht="40.200000000000003" customHeight="1" x14ac:dyDescent="0.25"/>
    <row r="1075" ht="40.200000000000003" customHeight="1" x14ac:dyDescent="0.25"/>
    <row r="1076" ht="40.200000000000003" customHeight="1" x14ac:dyDescent="0.25"/>
    <row r="1077" ht="40.200000000000003" customHeight="1" x14ac:dyDescent="0.25"/>
    <row r="1078" ht="40.200000000000003" customHeight="1" x14ac:dyDescent="0.25"/>
    <row r="1079" ht="40.200000000000003" customHeight="1" x14ac:dyDescent="0.25"/>
    <row r="1080" ht="40.200000000000003" customHeight="1" x14ac:dyDescent="0.25"/>
    <row r="1081" ht="40.200000000000003" customHeight="1" x14ac:dyDescent="0.25"/>
    <row r="1082" ht="40.200000000000003" customHeight="1" x14ac:dyDescent="0.25"/>
    <row r="1083" ht="40.200000000000003" customHeight="1" x14ac:dyDescent="0.25"/>
    <row r="1084" ht="40.200000000000003" customHeight="1" x14ac:dyDescent="0.25"/>
    <row r="1085" ht="40.200000000000003" customHeight="1" x14ac:dyDescent="0.25"/>
    <row r="1086" ht="40.200000000000003" customHeight="1" x14ac:dyDescent="0.25"/>
    <row r="1087" ht="40.200000000000003" customHeight="1" x14ac:dyDescent="0.25"/>
    <row r="1088" ht="40.200000000000003" customHeight="1" x14ac:dyDescent="0.25"/>
    <row r="1089" ht="40.200000000000003" customHeight="1" x14ac:dyDescent="0.25"/>
    <row r="1090" ht="40.200000000000003" customHeight="1" x14ac:dyDescent="0.25"/>
    <row r="1091" ht="40.200000000000003" customHeight="1" x14ac:dyDescent="0.25"/>
    <row r="1092" ht="40.200000000000003" customHeight="1" x14ac:dyDescent="0.25"/>
    <row r="1093" ht="40.200000000000003" customHeight="1" x14ac:dyDescent="0.25"/>
    <row r="1094" ht="40.200000000000003" customHeight="1" x14ac:dyDescent="0.25"/>
    <row r="1095" ht="40.200000000000003" customHeight="1" x14ac:dyDescent="0.25"/>
    <row r="1096" ht="40.200000000000003" customHeight="1" x14ac:dyDescent="0.25"/>
    <row r="1097" ht="40.200000000000003" customHeight="1" x14ac:dyDescent="0.25"/>
    <row r="1098" ht="40.200000000000003" customHeight="1" x14ac:dyDescent="0.25"/>
    <row r="1099" ht="40.200000000000003" customHeight="1" x14ac:dyDescent="0.25"/>
    <row r="1100" ht="40.200000000000003" customHeight="1" x14ac:dyDescent="0.25"/>
    <row r="1101" ht="40.200000000000003" customHeight="1" x14ac:dyDescent="0.25"/>
    <row r="1102" ht="40.200000000000003" customHeight="1" x14ac:dyDescent="0.25"/>
    <row r="1103" ht="40.200000000000003" customHeight="1" x14ac:dyDescent="0.25"/>
    <row r="1104" ht="40.200000000000003" customHeight="1" x14ac:dyDescent="0.25"/>
    <row r="1105" ht="40.200000000000003" customHeight="1" x14ac:dyDescent="0.25"/>
    <row r="1106" ht="40.200000000000003" customHeight="1" x14ac:dyDescent="0.25"/>
    <row r="1107" ht="40.200000000000003" customHeight="1" x14ac:dyDescent="0.25"/>
    <row r="1108" ht="40.200000000000003" customHeight="1" x14ac:dyDescent="0.25"/>
    <row r="1109" ht="40.200000000000003" customHeight="1" x14ac:dyDescent="0.25"/>
    <row r="1110" ht="40.200000000000003" customHeight="1" x14ac:dyDescent="0.25"/>
    <row r="1111" ht="40.200000000000003" customHeight="1" x14ac:dyDescent="0.25"/>
    <row r="1112" ht="40.200000000000003" customHeight="1" x14ac:dyDescent="0.25"/>
    <row r="1113" ht="40.200000000000003" customHeight="1" x14ac:dyDescent="0.25"/>
    <row r="1114" ht="40.200000000000003" customHeight="1" x14ac:dyDescent="0.25"/>
    <row r="1115" ht="40.200000000000003" customHeight="1" x14ac:dyDescent="0.25"/>
    <row r="1116" ht="40.200000000000003" customHeight="1" x14ac:dyDescent="0.25"/>
    <row r="1117" ht="40.200000000000003" customHeight="1" x14ac:dyDescent="0.25"/>
    <row r="1118" ht="40.200000000000003" customHeight="1" x14ac:dyDescent="0.25"/>
    <row r="1119" ht="40.200000000000003" customHeight="1" x14ac:dyDescent="0.25"/>
    <row r="1120" ht="40.200000000000003" customHeight="1" x14ac:dyDescent="0.25"/>
    <row r="1121" ht="40.200000000000003" customHeight="1" x14ac:dyDescent="0.25"/>
    <row r="1122" ht="40.200000000000003" customHeight="1" x14ac:dyDescent="0.25"/>
    <row r="1123" ht="40.200000000000003" customHeight="1" x14ac:dyDescent="0.25"/>
    <row r="1124" ht="40.200000000000003" customHeight="1" x14ac:dyDescent="0.25"/>
    <row r="1125" ht="40.200000000000003" customHeight="1" x14ac:dyDescent="0.25"/>
    <row r="1126" ht="40.200000000000003" customHeight="1" x14ac:dyDescent="0.25"/>
    <row r="1127" ht="40.200000000000003" customHeight="1" x14ac:dyDescent="0.25"/>
    <row r="1128" ht="40.200000000000003" customHeight="1" x14ac:dyDescent="0.25"/>
    <row r="1129" ht="40.200000000000003" customHeight="1" x14ac:dyDescent="0.25"/>
    <row r="1130" ht="40.200000000000003" customHeight="1" x14ac:dyDescent="0.25"/>
    <row r="1131" ht="40.200000000000003" customHeight="1" x14ac:dyDescent="0.25"/>
    <row r="1132" ht="40.200000000000003" customHeight="1" x14ac:dyDescent="0.25"/>
    <row r="1133" ht="40.200000000000003" customHeight="1" x14ac:dyDescent="0.25"/>
    <row r="1134" ht="40.200000000000003" customHeight="1" x14ac:dyDescent="0.25"/>
    <row r="1135" ht="40.200000000000003" customHeight="1" x14ac:dyDescent="0.25"/>
    <row r="1136" ht="40.200000000000003" customHeight="1" x14ac:dyDescent="0.25"/>
    <row r="1137" ht="40.200000000000003" customHeight="1" x14ac:dyDescent="0.25"/>
    <row r="1138" ht="40.200000000000003" customHeight="1" x14ac:dyDescent="0.25"/>
    <row r="1139" ht="40.200000000000003" customHeight="1" x14ac:dyDescent="0.25"/>
    <row r="1140" ht="40.200000000000003" customHeight="1" x14ac:dyDescent="0.25"/>
    <row r="1141" ht="40.200000000000003" customHeight="1" x14ac:dyDescent="0.25"/>
    <row r="1142" ht="40.200000000000003" customHeight="1" x14ac:dyDescent="0.25"/>
    <row r="1143" ht="40.200000000000003" customHeight="1" x14ac:dyDescent="0.25"/>
    <row r="1144" ht="40.200000000000003" customHeight="1" x14ac:dyDescent="0.25"/>
    <row r="1145" ht="40.200000000000003" customHeight="1" x14ac:dyDescent="0.25"/>
    <row r="1146" ht="40.200000000000003" customHeight="1" x14ac:dyDescent="0.25"/>
    <row r="1147" ht="40.200000000000003" customHeight="1" x14ac:dyDescent="0.25"/>
    <row r="1148" ht="40.200000000000003" customHeight="1" x14ac:dyDescent="0.25"/>
    <row r="1149" ht="40.200000000000003" customHeight="1" x14ac:dyDescent="0.25"/>
    <row r="1150" ht="40.200000000000003" customHeight="1" x14ac:dyDescent="0.25"/>
    <row r="1151" ht="40.200000000000003" customHeight="1" x14ac:dyDescent="0.25"/>
    <row r="1152" ht="40.200000000000003" customHeight="1" x14ac:dyDescent="0.25"/>
    <row r="1153" ht="40.200000000000003" customHeight="1" x14ac:dyDescent="0.25"/>
    <row r="1154" ht="40.200000000000003" customHeight="1" x14ac:dyDescent="0.25"/>
    <row r="1155" ht="40.200000000000003" customHeight="1" x14ac:dyDescent="0.25"/>
    <row r="1156" ht="40.200000000000003" customHeight="1" x14ac:dyDescent="0.25"/>
    <row r="1157" ht="40.200000000000003" customHeight="1" x14ac:dyDescent="0.25"/>
    <row r="1158" ht="40.200000000000003" customHeight="1" x14ac:dyDescent="0.25"/>
    <row r="1159" ht="40.200000000000003" customHeight="1" x14ac:dyDescent="0.25"/>
    <row r="1160" ht="40.200000000000003" customHeight="1" x14ac:dyDescent="0.25"/>
    <row r="1161" ht="40.200000000000003" customHeight="1" x14ac:dyDescent="0.25"/>
    <row r="1162" ht="40.200000000000003" customHeight="1" x14ac:dyDescent="0.25"/>
    <row r="1163" ht="40.200000000000003" customHeight="1" x14ac:dyDescent="0.25"/>
    <row r="1164" ht="40.200000000000003" customHeight="1" x14ac:dyDescent="0.25"/>
    <row r="1165" ht="40.200000000000003" customHeight="1" x14ac:dyDescent="0.25"/>
    <row r="1166" ht="40.200000000000003" customHeight="1" x14ac:dyDescent="0.25"/>
    <row r="1167" ht="40.200000000000003" customHeight="1" x14ac:dyDescent="0.25"/>
    <row r="1168" ht="40.200000000000003" customHeight="1" x14ac:dyDescent="0.25"/>
    <row r="1169" ht="40.200000000000003" customHeight="1" x14ac:dyDescent="0.25"/>
    <row r="1170" ht="40.200000000000003" customHeight="1" x14ac:dyDescent="0.25"/>
    <row r="1171" ht="40.200000000000003" customHeight="1" x14ac:dyDescent="0.25"/>
    <row r="1172" ht="40.200000000000003" customHeight="1" x14ac:dyDescent="0.25"/>
    <row r="1173" ht="40.200000000000003" customHeight="1" x14ac:dyDescent="0.25"/>
    <row r="1174" ht="40.200000000000003" customHeight="1" x14ac:dyDescent="0.25"/>
    <row r="1175" ht="40.200000000000003" customHeight="1" x14ac:dyDescent="0.25"/>
    <row r="1176" ht="40.200000000000003" customHeight="1" x14ac:dyDescent="0.25"/>
    <row r="1177" ht="40.200000000000003" customHeight="1" x14ac:dyDescent="0.25"/>
    <row r="1178" ht="40.200000000000003" customHeight="1" x14ac:dyDescent="0.25"/>
    <row r="1179" ht="40.200000000000003" customHeight="1" x14ac:dyDescent="0.25"/>
    <row r="1180" ht="40.200000000000003" customHeight="1" x14ac:dyDescent="0.25"/>
    <row r="1181" ht="40.200000000000003" customHeight="1" x14ac:dyDescent="0.25"/>
    <row r="1182" ht="40.200000000000003" customHeight="1" x14ac:dyDescent="0.25"/>
    <row r="1183" ht="40.200000000000003" customHeight="1" x14ac:dyDescent="0.25"/>
    <row r="1184" ht="40.200000000000003" customHeight="1" x14ac:dyDescent="0.25"/>
    <row r="1185" ht="40.200000000000003" customHeight="1" x14ac:dyDescent="0.25"/>
    <row r="1186" ht="40.200000000000003" customHeight="1" x14ac:dyDescent="0.25"/>
    <row r="1187" ht="40.200000000000003" customHeight="1" x14ac:dyDescent="0.25"/>
    <row r="1188" ht="40.200000000000003" customHeight="1" x14ac:dyDescent="0.25"/>
    <row r="1189" ht="40.200000000000003" customHeight="1" x14ac:dyDescent="0.25"/>
    <row r="1190" ht="40.200000000000003" customHeight="1" x14ac:dyDescent="0.25"/>
    <row r="1191" ht="40.200000000000003" customHeight="1" x14ac:dyDescent="0.25"/>
    <row r="1192" ht="40.200000000000003" customHeight="1" x14ac:dyDescent="0.25"/>
    <row r="1193" ht="40.200000000000003" customHeight="1" x14ac:dyDescent="0.25"/>
    <row r="1194" ht="40.200000000000003" customHeight="1" x14ac:dyDescent="0.25"/>
    <row r="1195" ht="40.200000000000003" customHeight="1" x14ac:dyDescent="0.25"/>
    <row r="1196" ht="40.200000000000003" customHeight="1" x14ac:dyDescent="0.25"/>
    <row r="1197" ht="40.200000000000003" customHeight="1" x14ac:dyDescent="0.25"/>
    <row r="1198" ht="40.200000000000003" customHeight="1" x14ac:dyDescent="0.25"/>
    <row r="1199" ht="40.200000000000003" customHeight="1" x14ac:dyDescent="0.25"/>
    <row r="1200" ht="40.200000000000003" customHeight="1" x14ac:dyDescent="0.25"/>
    <row r="1201" ht="40.200000000000003" customHeight="1" x14ac:dyDescent="0.25"/>
    <row r="1202" ht="40.200000000000003" customHeight="1" x14ac:dyDescent="0.25"/>
    <row r="1203" ht="40.200000000000003" customHeight="1" x14ac:dyDescent="0.25"/>
    <row r="1204" ht="40.200000000000003" customHeight="1" x14ac:dyDescent="0.25"/>
    <row r="1205" ht="40.200000000000003" customHeight="1" x14ac:dyDescent="0.25"/>
    <row r="1206" ht="40.200000000000003" customHeight="1" x14ac:dyDescent="0.25"/>
    <row r="1207" ht="40.200000000000003" customHeight="1" x14ac:dyDescent="0.25"/>
    <row r="1208" ht="40.200000000000003" customHeight="1" x14ac:dyDescent="0.25"/>
    <row r="1209" ht="40.200000000000003" customHeight="1" x14ac:dyDescent="0.25"/>
    <row r="1210" ht="40.200000000000003" customHeight="1" x14ac:dyDescent="0.25"/>
    <row r="1211" ht="40.200000000000003" customHeight="1" x14ac:dyDescent="0.25"/>
    <row r="1212" ht="40.200000000000003" customHeight="1" x14ac:dyDescent="0.25"/>
    <row r="1213" ht="40.200000000000003" customHeight="1" x14ac:dyDescent="0.25"/>
    <row r="1214" ht="40.200000000000003" customHeight="1" x14ac:dyDescent="0.25"/>
    <row r="1215" ht="40.200000000000003" customHeight="1" x14ac:dyDescent="0.25"/>
    <row r="1216" ht="40.200000000000003" customHeight="1" x14ac:dyDescent="0.25"/>
    <row r="1217" ht="40.200000000000003" customHeight="1" x14ac:dyDescent="0.25"/>
    <row r="1218" ht="40.200000000000003" customHeight="1" x14ac:dyDescent="0.25"/>
    <row r="1219" ht="40.200000000000003" customHeight="1" x14ac:dyDescent="0.25"/>
    <row r="1220" ht="40.200000000000003" customHeight="1" x14ac:dyDescent="0.25"/>
    <row r="1221" ht="40.200000000000003" customHeight="1" x14ac:dyDescent="0.25"/>
    <row r="1222" ht="40.200000000000003" customHeight="1" x14ac:dyDescent="0.25"/>
    <row r="1223" ht="40.200000000000003" customHeight="1" x14ac:dyDescent="0.25"/>
    <row r="1224" ht="40.200000000000003" customHeight="1" x14ac:dyDescent="0.25"/>
    <row r="1225" ht="40.200000000000003" customHeight="1" x14ac:dyDescent="0.25"/>
    <row r="1226" ht="40.200000000000003" customHeight="1" x14ac:dyDescent="0.25"/>
    <row r="1227" ht="40.200000000000003" customHeight="1" x14ac:dyDescent="0.25"/>
    <row r="1228" ht="40.200000000000003" customHeight="1" x14ac:dyDescent="0.25"/>
    <row r="1229" ht="40.200000000000003" customHeight="1" x14ac:dyDescent="0.25"/>
    <row r="1230" ht="40.200000000000003" customHeight="1" x14ac:dyDescent="0.25"/>
    <row r="1231" ht="40.200000000000003" customHeight="1" x14ac:dyDescent="0.25"/>
    <row r="1232" ht="40.200000000000003" customHeight="1" x14ac:dyDescent="0.25"/>
    <row r="1233" ht="40.200000000000003" customHeight="1" x14ac:dyDescent="0.25"/>
    <row r="1234" ht="40.200000000000003" customHeight="1" x14ac:dyDescent="0.25"/>
    <row r="1235" ht="40.200000000000003" customHeight="1" x14ac:dyDescent="0.25"/>
    <row r="1236" ht="40.200000000000003" customHeight="1" x14ac:dyDescent="0.25"/>
    <row r="1237" ht="40.200000000000003" customHeight="1" x14ac:dyDescent="0.25"/>
    <row r="1238" ht="40.200000000000003" customHeight="1" x14ac:dyDescent="0.25"/>
    <row r="1239" ht="40.200000000000003" customHeight="1" x14ac:dyDescent="0.25"/>
    <row r="1240" ht="40.200000000000003" customHeight="1" x14ac:dyDescent="0.25"/>
    <row r="1241" ht="40.200000000000003" customHeight="1" x14ac:dyDescent="0.25"/>
    <row r="1242" ht="40.200000000000003" customHeight="1" x14ac:dyDescent="0.25"/>
    <row r="1243" ht="40.200000000000003" customHeight="1" x14ac:dyDescent="0.25"/>
    <row r="1244" ht="40.200000000000003" customHeight="1" x14ac:dyDescent="0.25"/>
    <row r="1245" ht="40.200000000000003" customHeight="1" x14ac:dyDescent="0.25"/>
    <row r="1246" ht="40.200000000000003" customHeight="1" x14ac:dyDescent="0.25"/>
    <row r="1247" ht="40.200000000000003" customHeight="1" x14ac:dyDescent="0.25"/>
    <row r="1248" ht="40.200000000000003" customHeight="1" x14ac:dyDescent="0.25"/>
    <row r="1249" ht="40.200000000000003" customHeight="1" x14ac:dyDescent="0.25"/>
    <row r="1250" ht="40.200000000000003" customHeight="1" x14ac:dyDescent="0.25"/>
    <row r="1251" ht="40.200000000000003" customHeight="1" x14ac:dyDescent="0.25"/>
    <row r="1252" ht="40.200000000000003" customHeight="1" x14ac:dyDescent="0.25"/>
    <row r="1253" ht="40.200000000000003" customHeight="1" x14ac:dyDescent="0.25"/>
    <row r="1254" ht="40.200000000000003" customHeight="1" x14ac:dyDescent="0.25"/>
    <row r="1255" ht="40.200000000000003" customHeight="1" x14ac:dyDescent="0.25"/>
    <row r="1256" ht="40.200000000000003" customHeight="1" x14ac:dyDescent="0.25"/>
    <row r="1257" ht="40.200000000000003" customHeight="1" x14ac:dyDescent="0.25"/>
    <row r="1258" ht="40.200000000000003" customHeight="1" x14ac:dyDescent="0.25"/>
    <row r="1259" ht="40.200000000000003" customHeight="1" x14ac:dyDescent="0.25"/>
    <row r="1260" ht="40.200000000000003" customHeight="1" x14ac:dyDescent="0.25"/>
    <row r="1261" ht="40.200000000000003" customHeight="1" x14ac:dyDescent="0.25"/>
    <row r="1262" ht="40.200000000000003" customHeight="1" x14ac:dyDescent="0.25"/>
    <row r="1263" ht="40.200000000000003" customHeight="1" x14ac:dyDescent="0.25"/>
    <row r="1264" ht="40.200000000000003" customHeight="1" x14ac:dyDescent="0.25"/>
    <row r="1265" ht="40.200000000000003" customHeight="1" x14ac:dyDescent="0.25"/>
    <row r="1266" ht="40.200000000000003" customHeight="1" x14ac:dyDescent="0.25"/>
    <row r="1267" ht="40.200000000000003" customHeight="1" x14ac:dyDescent="0.25"/>
    <row r="1268" ht="40.200000000000003" customHeight="1" x14ac:dyDescent="0.25"/>
    <row r="1269" ht="40.200000000000003" customHeight="1" x14ac:dyDescent="0.25"/>
    <row r="1270" ht="40.200000000000003" customHeight="1" x14ac:dyDescent="0.25"/>
    <row r="1271" ht="40.200000000000003" customHeight="1" x14ac:dyDescent="0.25"/>
    <row r="1272" ht="40.200000000000003" customHeight="1" x14ac:dyDescent="0.25"/>
    <row r="1273" ht="40.200000000000003" customHeight="1" x14ac:dyDescent="0.25"/>
    <row r="1274" ht="40.200000000000003" customHeight="1" x14ac:dyDescent="0.25"/>
    <row r="1275" ht="40.200000000000003" customHeight="1" x14ac:dyDescent="0.25"/>
    <row r="1276" ht="40.200000000000003" customHeight="1" x14ac:dyDescent="0.25"/>
    <row r="1277" ht="40.200000000000003" customHeight="1" x14ac:dyDescent="0.25"/>
    <row r="1278" ht="40.200000000000003" customHeight="1" x14ac:dyDescent="0.25"/>
    <row r="1279" ht="40.200000000000003" customHeight="1" x14ac:dyDescent="0.25"/>
    <row r="1280" ht="40.200000000000003" customHeight="1" x14ac:dyDescent="0.25"/>
    <row r="1281" ht="40.200000000000003" customHeight="1" x14ac:dyDescent="0.25"/>
    <row r="1282" ht="40.200000000000003" customHeight="1" x14ac:dyDescent="0.25"/>
    <row r="1283" ht="40.200000000000003" customHeight="1" x14ac:dyDescent="0.25"/>
    <row r="1284" ht="40.200000000000003" customHeight="1" x14ac:dyDescent="0.25"/>
    <row r="1285" ht="40.200000000000003" customHeight="1" x14ac:dyDescent="0.25"/>
    <row r="1286" ht="40.200000000000003" customHeight="1" x14ac:dyDescent="0.25"/>
    <row r="1287" ht="40.200000000000003" customHeight="1" x14ac:dyDescent="0.25"/>
    <row r="1288" ht="40.200000000000003" customHeight="1" x14ac:dyDescent="0.25"/>
    <row r="1289" ht="40.200000000000003" customHeight="1" x14ac:dyDescent="0.25"/>
    <row r="1290" ht="40.200000000000003" customHeight="1" x14ac:dyDescent="0.25"/>
    <row r="1291" ht="40.200000000000003" customHeight="1" x14ac:dyDescent="0.25"/>
    <row r="1292" ht="40.200000000000003" customHeight="1" x14ac:dyDescent="0.25"/>
    <row r="1293" ht="40.200000000000003" customHeight="1" x14ac:dyDescent="0.25"/>
    <row r="1294" ht="40.200000000000003" customHeight="1" x14ac:dyDescent="0.25"/>
    <row r="1295" ht="40.200000000000003" customHeight="1" x14ac:dyDescent="0.25"/>
    <row r="1296" ht="40.200000000000003" customHeight="1" x14ac:dyDescent="0.25"/>
    <row r="1297" ht="40.200000000000003" customHeight="1" x14ac:dyDescent="0.25"/>
    <row r="1298" ht="40.200000000000003" customHeight="1" x14ac:dyDescent="0.25"/>
    <row r="1299" ht="40.200000000000003" customHeight="1" x14ac:dyDescent="0.25"/>
    <row r="1300" ht="40.200000000000003" customHeight="1" x14ac:dyDescent="0.25"/>
    <row r="1301" ht="40.200000000000003" customHeight="1" x14ac:dyDescent="0.25"/>
    <row r="1302" ht="40.200000000000003" customHeight="1" x14ac:dyDescent="0.25"/>
    <row r="1303" ht="40.200000000000003" customHeight="1" x14ac:dyDescent="0.25"/>
    <row r="1304" ht="40.200000000000003" customHeight="1" x14ac:dyDescent="0.25"/>
    <row r="1305" ht="40.200000000000003" customHeight="1" x14ac:dyDescent="0.25"/>
    <row r="1306" ht="40.200000000000003" customHeight="1" x14ac:dyDescent="0.25"/>
    <row r="1307" ht="40.200000000000003" customHeight="1" x14ac:dyDescent="0.25"/>
    <row r="1308" ht="40.200000000000003" customHeight="1" x14ac:dyDescent="0.25"/>
    <row r="1309" ht="40.200000000000003" customHeight="1" x14ac:dyDescent="0.25"/>
    <row r="1310" ht="40.200000000000003" customHeight="1" x14ac:dyDescent="0.25"/>
    <row r="1311" ht="40.200000000000003" customHeight="1" x14ac:dyDescent="0.25"/>
    <row r="1312" ht="40.200000000000003" customHeight="1" x14ac:dyDescent="0.25"/>
    <row r="1313" ht="40.200000000000003" customHeight="1" x14ac:dyDescent="0.25"/>
    <row r="1314" ht="40.200000000000003" customHeight="1" x14ac:dyDescent="0.25"/>
    <row r="1315" ht="40.200000000000003" customHeight="1" x14ac:dyDescent="0.25"/>
    <row r="1316" ht="40.200000000000003" customHeight="1" x14ac:dyDescent="0.25"/>
    <row r="1317" ht="40.200000000000003" customHeight="1" x14ac:dyDescent="0.25"/>
    <row r="1318" ht="40.200000000000003" customHeight="1" x14ac:dyDescent="0.25"/>
    <row r="1319" ht="40.200000000000003" customHeight="1" x14ac:dyDescent="0.25"/>
    <row r="1320" ht="40.200000000000003" customHeight="1" x14ac:dyDescent="0.25"/>
    <row r="1321" ht="40.200000000000003" customHeight="1" x14ac:dyDescent="0.25"/>
    <row r="1322" ht="40.200000000000003" customHeight="1" x14ac:dyDescent="0.25"/>
    <row r="1323" ht="40.200000000000003" customHeight="1" x14ac:dyDescent="0.25"/>
    <row r="1324" ht="40.200000000000003" customHeight="1" x14ac:dyDescent="0.25"/>
    <row r="1325" ht="40.200000000000003" customHeight="1" x14ac:dyDescent="0.25"/>
    <row r="1326" ht="40.200000000000003" customHeight="1" x14ac:dyDescent="0.25"/>
    <row r="1327" ht="40.200000000000003" customHeight="1" x14ac:dyDescent="0.25"/>
    <row r="1328" ht="40.200000000000003" customHeight="1" x14ac:dyDescent="0.25"/>
    <row r="1329" ht="40.200000000000003" customHeight="1" x14ac:dyDescent="0.25"/>
    <row r="1330" ht="40.200000000000003" customHeight="1" x14ac:dyDescent="0.25"/>
    <row r="1331" ht="40.200000000000003" customHeight="1" x14ac:dyDescent="0.25"/>
    <row r="1332" ht="40.200000000000003" customHeight="1" x14ac:dyDescent="0.25"/>
    <row r="1333" ht="40.200000000000003" customHeight="1" x14ac:dyDescent="0.25"/>
    <row r="1334" ht="40.200000000000003" customHeight="1" x14ac:dyDescent="0.25"/>
    <row r="1335" ht="40.200000000000003" customHeight="1" x14ac:dyDescent="0.25"/>
    <row r="1336" ht="40.200000000000003" customHeight="1" x14ac:dyDescent="0.25"/>
    <row r="1337" ht="40.200000000000003" customHeight="1" x14ac:dyDescent="0.25"/>
    <row r="1338" ht="40.200000000000003" customHeight="1" x14ac:dyDescent="0.25"/>
    <row r="1339" ht="40.200000000000003" customHeight="1" x14ac:dyDescent="0.25"/>
    <row r="1340" ht="40.200000000000003" customHeight="1" x14ac:dyDescent="0.25"/>
    <row r="1341" ht="40.200000000000003" customHeight="1" x14ac:dyDescent="0.25"/>
    <row r="1342" ht="40.200000000000003" customHeight="1" x14ac:dyDescent="0.25"/>
    <row r="1343" ht="40.200000000000003" customHeight="1" x14ac:dyDescent="0.25"/>
    <row r="1344" ht="40.200000000000003" customHeight="1" x14ac:dyDescent="0.25"/>
    <row r="1345" ht="40.200000000000003" customHeight="1" x14ac:dyDescent="0.25"/>
    <row r="1346" ht="40.200000000000003" customHeight="1" x14ac:dyDescent="0.25"/>
    <row r="1347" ht="40.200000000000003" customHeight="1" x14ac:dyDescent="0.25"/>
    <row r="1348" ht="40.200000000000003" customHeight="1" x14ac:dyDescent="0.25"/>
    <row r="1349" ht="40.200000000000003" customHeight="1" x14ac:dyDescent="0.25"/>
    <row r="1350" ht="40.200000000000003" customHeight="1" x14ac:dyDescent="0.25"/>
    <row r="1351" ht="40.200000000000003" customHeight="1" x14ac:dyDescent="0.25"/>
    <row r="1352" ht="40.200000000000003" customHeight="1" x14ac:dyDescent="0.25"/>
    <row r="1353" ht="40.200000000000003" customHeight="1" x14ac:dyDescent="0.25"/>
    <row r="1354" ht="40.200000000000003" customHeight="1" x14ac:dyDescent="0.25"/>
    <row r="1355" ht="40.200000000000003" customHeight="1" x14ac:dyDescent="0.25"/>
    <row r="1356" ht="40.200000000000003" customHeight="1" x14ac:dyDescent="0.25"/>
    <row r="1357" ht="40.200000000000003" customHeight="1" x14ac:dyDescent="0.25"/>
    <row r="1358" ht="40.200000000000003" customHeight="1" x14ac:dyDescent="0.25"/>
    <row r="1359" ht="40.200000000000003" customHeight="1" x14ac:dyDescent="0.25"/>
    <row r="1360" ht="40.200000000000003" customHeight="1" x14ac:dyDescent="0.25"/>
    <row r="1361" ht="40.200000000000003" customHeight="1" x14ac:dyDescent="0.25"/>
    <row r="1362" ht="40.200000000000003" customHeight="1" x14ac:dyDescent="0.25"/>
    <row r="1363" ht="40.200000000000003" customHeight="1" x14ac:dyDescent="0.25"/>
    <row r="1364" ht="40.200000000000003" customHeight="1" x14ac:dyDescent="0.25"/>
    <row r="1365" ht="40.200000000000003" customHeight="1" x14ac:dyDescent="0.25"/>
    <row r="1366" ht="40.200000000000003" customHeight="1" x14ac:dyDescent="0.25"/>
    <row r="1367" ht="40.200000000000003" customHeight="1" x14ac:dyDescent="0.25"/>
    <row r="1368" ht="40.200000000000003" customHeight="1" x14ac:dyDescent="0.25"/>
    <row r="1369" ht="40.200000000000003" customHeight="1" x14ac:dyDescent="0.25"/>
    <row r="1370" ht="40.200000000000003" customHeight="1" x14ac:dyDescent="0.25"/>
    <row r="1371" ht="40.200000000000003" customHeight="1" x14ac:dyDescent="0.25"/>
    <row r="1372" ht="40.200000000000003" customHeight="1" x14ac:dyDescent="0.25"/>
    <row r="1373" ht="40.200000000000003" customHeight="1" x14ac:dyDescent="0.25"/>
    <row r="1374" ht="40.200000000000003" customHeight="1" x14ac:dyDescent="0.25"/>
    <row r="1375" ht="40.200000000000003" customHeight="1" x14ac:dyDescent="0.25"/>
    <row r="1376" ht="40.200000000000003" customHeight="1" x14ac:dyDescent="0.25"/>
    <row r="1377" ht="40.200000000000003" customHeight="1" x14ac:dyDescent="0.25"/>
    <row r="1378" ht="40.200000000000003" customHeight="1" x14ac:dyDescent="0.25"/>
    <row r="1379" ht="40.200000000000003" customHeight="1" x14ac:dyDescent="0.25"/>
    <row r="1380" ht="40.200000000000003" customHeight="1" x14ac:dyDescent="0.25"/>
    <row r="1381" ht="40.200000000000003" customHeight="1" x14ac:dyDescent="0.25"/>
    <row r="1382" ht="40.200000000000003" customHeight="1" x14ac:dyDescent="0.25"/>
    <row r="1383" ht="40.200000000000003" customHeight="1" x14ac:dyDescent="0.25"/>
    <row r="1384" ht="40.200000000000003" customHeight="1" x14ac:dyDescent="0.25"/>
    <row r="1385" ht="40.200000000000003" customHeight="1" x14ac:dyDescent="0.25"/>
    <row r="1386" ht="40.200000000000003" customHeight="1" x14ac:dyDescent="0.25"/>
    <row r="1387" ht="40.200000000000003" customHeight="1" x14ac:dyDescent="0.25"/>
    <row r="1388" ht="40.200000000000003" customHeight="1" x14ac:dyDescent="0.25"/>
    <row r="1389" ht="40.200000000000003" customHeight="1" x14ac:dyDescent="0.25"/>
    <row r="1390" ht="40.200000000000003" customHeight="1" x14ac:dyDescent="0.25"/>
    <row r="1391" ht="40.200000000000003" customHeight="1" x14ac:dyDescent="0.25"/>
    <row r="1392" ht="40.200000000000003" customHeight="1" x14ac:dyDescent="0.25"/>
    <row r="1393" ht="40.200000000000003" customHeight="1" x14ac:dyDescent="0.25"/>
    <row r="1394" ht="40.200000000000003" customHeight="1" x14ac:dyDescent="0.25"/>
    <row r="1395" ht="40.200000000000003" customHeight="1" x14ac:dyDescent="0.25"/>
    <row r="1396" ht="40.200000000000003" customHeight="1" x14ac:dyDescent="0.25"/>
    <row r="1397" ht="40.200000000000003" customHeight="1" x14ac:dyDescent="0.25"/>
    <row r="1398" ht="40.200000000000003" customHeight="1" x14ac:dyDescent="0.25"/>
    <row r="1399" ht="40.200000000000003" customHeight="1" x14ac:dyDescent="0.25"/>
    <row r="1400" ht="40.200000000000003" customHeight="1" x14ac:dyDescent="0.25"/>
    <row r="1401" ht="40.200000000000003" customHeight="1" x14ac:dyDescent="0.25"/>
    <row r="1402" ht="40.200000000000003" customHeight="1" x14ac:dyDescent="0.25"/>
    <row r="1403" ht="40.200000000000003" customHeight="1" x14ac:dyDescent="0.25"/>
    <row r="1404" ht="40.200000000000003" customHeight="1" x14ac:dyDescent="0.25"/>
    <row r="1405" ht="40.200000000000003" customHeight="1" x14ac:dyDescent="0.25"/>
    <row r="1406" ht="40.200000000000003" customHeight="1" x14ac:dyDescent="0.25"/>
    <row r="1407" ht="40.200000000000003" customHeight="1" x14ac:dyDescent="0.25"/>
    <row r="1408" ht="40.200000000000003" customHeight="1" x14ac:dyDescent="0.25"/>
    <row r="1409" ht="40.200000000000003" customHeight="1" x14ac:dyDescent="0.25"/>
    <row r="1410" ht="40.200000000000003" customHeight="1" x14ac:dyDescent="0.25"/>
    <row r="1411" ht="40.200000000000003" customHeight="1" x14ac:dyDescent="0.25"/>
    <row r="1412" ht="40.200000000000003" customHeight="1" x14ac:dyDescent="0.25"/>
    <row r="1413" ht="40.200000000000003" customHeight="1" x14ac:dyDescent="0.25"/>
    <row r="1414" ht="40.200000000000003" customHeight="1" x14ac:dyDescent="0.25"/>
    <row r="1415" ht="40.200000000000003" customHeight="1" x14ac:dyDescent="0.25"/>
    <row r="1416" ht="40.200000000000003" customHeight="1" x14ac:dyDescent="0.25"/>
    <row r="1417" ht="40.200000000000003" customHeight="1" x14ac:dyDescent="0.25"/>
    <row r="1418" ht="40.200000000000003" customHeight="1" x14ac:dyDescent="0.25"/>
    <row r="1419" ht="40.200000000000003" customHeight="1" x14ac:dyDescent="0.25"/>
    <row r="1420" ht="40.200000000000003" customHeight="1" x14ac:dyDescent="0.25"/>
    <row r="1421" ht="40.200000000000003" customHeight="1" x14ac:dyDescent="0.25"/>
    <row r="1422" ht="40.200000000000003" customHeight="1" x14ac:dyDescent="0.25"/>
    <row r="1423" ht="40.200000000000003" customHeight="1" x14ac:dyDescent="0.25"/>
    <row r="1424" ht="40.200000000000003" customHeight="1" x14ac:dyDescent="0.25"/>
    <row r="1425" ht="40.200000000000003" customHeight="1" x14ac:dyDescent="0.25"/>
    <row r="1426" ht="40.200000000000003" customHeight="1" x14ac:dyDescent="0.25"/>
    <row r="1427" ht="40.200000000000003" customHeight="1" x14ac:dyDescent="0.25"/>
    <row r="1428" ht="40.200000000000003" customHeight="1" x14ac:dyDescent="0.25"/>
    <row r="1429" ht="40.200000000000003" customHeight="1" x14ac:dyDescent="0.25"/>
    <row r="1430" ht="40.200000000000003" customHeight="1" x14ac:dyDescent="0.25"/>
    <row r="1431" ht="40.200000000000003" customHeight="1" x14ac:dyDescent="0.25"/>
    <row r="1432" ht="40.200000000000003" customHeight="1" x14ac:dyDescent="0.25"/>
    <row r="1433" ht="40.200000000000003" customHeight="1" x14ac:dyDescent="0.25"/>
    <row r="1434" ht="40.200000000000003" customHeight="1" x14ac:dyDescent="0.25"/>
    <row r="1435" ht="40.200000000000003" customHeight="1" x14ac:dyDescent="0.25"/>
    <row r="1436" ht="40.200000000000003" customHeight="1" x14ac:dyDescent="0.25"/>
    <row r="1437" ht="40.200000000000003" customHeight="1" x14ac:dyDescent="0.25"/>
    <row r="1438" ht="40.200000000000003" customHeight="1" x14ac:dyDescent="0.25"/>
    <row r="1439" ht="40.200000000000003" customHeight="1" x14ac:dyDescent="0.25"/>
    <row r="1440" ht="40.200000000000003" customHeight="1" x14ac:dyDescent="0.25"/>
    <row r="1441" ht="40.200000000000003" customHeight="1" x14ac:dyDescent="0.25"/>
    <row r="1442" ht="40.200000000000003" customHeight="1" x14ac:dyDescent="0.25"/>
    <row r="1443" ht="40.200000000000003" customHeight="1" x14ac:dyDescent="0.25"/>
    <row r="1444" ht="40.200000000000003" customHeight="1" x14ac:dyDescent="0.25"/>
    <row r="1445" ht="40.200000000000003" customHeight="1" x14ac:dyDescent="0.25"/>
    <row r="1446" ht="40.200000000000003" customHeight="1" x14ac:dyDescent="0.25"/>
    <row r="1447" ht="40.200000000000003" customHeight="1" x14ac:dyDescent="0.25"/>
    <row r="1448" ht="40.200000000000003" customHeight="1" x14ac:dyDescent="0.25"/>
    <row r="1449" ht="40.200000000000003" customHeight="1" x14ac:dyDescent="0.25"/>
    <row r="1450" ht="40.200000000000003" customHeight="1" x14ac:dyDescent="0.25"/>
    <row r="1451" ht="40.200000000000003" customHeight="1" x14ac:dyDescent="0.25"/>
    <row r="1452" ht="40.200000000000003" customHeight="1" x14ac:dyDescent="0.25"/>
    <row r="1453" ht="40.200000000000003" customHeight="1" x14ac:dyDescent="0.25"/>
    <row r="1454" ht="40.200000000000003" customHeight="1" x14ac:dyDescent="0.25"/>
    <row r="1455" ht="40.200000000000003" customHeight="1" x14ac:dyDescent="0.25"/>
    <row r="1456" ht="40.200000000000003" customHeight="1" x14ac:dyDescent="0.25"/>
    <row r="1457" ht="40.200000000000003" customHeight="1" x14ac:dyDescent="0.25"/>
    <row r="1458" ht="40.200000000000003" customHeight="1" x14ac:dyDescent="0.25"/>
    <row r="1459" ht="40.200000000000003" customHeight="1" x14ac:dyDescent="0.25"/>
    <row r="1460" ht="40.200000000000003" customHeight="1" x14ac:dyDescent="0.25"/>
    <row r="1461" ht="40.200000000000003" customHeight="1" x14ac:dyDescent="0.25"/>
    <row r="1462" ht="40.200000000000003" customHeight="1" x14ac:dyDescent="0.25"/>
    <row r="1463" ht="40.200000000000003" customHeight="1" x14ac:dyDescent="0.25"/>
    <row r="1464" ht="40.200000000000003" customHeight="1" x14ac:dyDescent="0.25"/>
    <row r="1465" ht="40.200000000000003" customHeight="1" x14ac:dyDescent="0.25"/>
    <row r="1466" ht="40.200000000000003" customHeight="1" x14ac:dyDescent="0.25"/>
    <row r="1467" ht="40.200000000000003" customHeight="1" x14ac:dyDescent="0.25"/>
    <row r="1468" ht="40.200000000000003" customHeight="1" x14ac:dyDescent="0.25"/>
    <row r="1469" ht="40.200000000000003" customHeight="1" x14ac:dyDescent="0.25"/>
    <row r="1470" ht="40.200000000000003" customHeight="1" x14ac:dyDescent="0.25"/>
    <row r="1471" ht="40.200000000000003" customHeight="1" x14ac:dyDescent="0.25"/>
    <row r="1472" ht="40.200000000000003" customHeight="1" x14ac:dyDescent="0.25"/>
    <row r="1473" ht="40.200000000000003" customHeight="1" x14ac:dyDescent="0.25"/>
    <row r="1474" ht="40.200000000000003" customHeight="1" x14ac:dyDescent="0.25"/>
    <row r="1475" ht="40.200000000000003" customHeight="1" x14ac:dyDescent="0.25"/>
    <row r="1476" ht="40.200000000000003" customHeight="1" x14ac:dyDescent="0.25"/>
    <row r="1477" ht="40.200000000000003" customHeight="1" x14ac:dyDescent="0.25"/>
    <row r="1478" ht="40.200000000000003" customHeight="1" x14ac:dyDescent="0.25"/>
    <row r="1479" ht="40.200000000000003" customHeight="1" x14ac:dyDescent="0.25"/>
    <row r="1480" ht="40.200000000000003" customHeight="1" x14ac:dyDescent="0.25"/>
    <row r="1481" ht="40.200000000000003" customHeight="1" x14ac:dyDescent="0.25"/>
    <row r="1482" ht="40.200000000000003" customHeight="1" x14ac:dyDescent="0.25"/>
    <row r="1483" ht="40.200000000000003" customHeight="1" x14ac:dyDescent="0.25"/>
    <row r="1484" ht="40.200000000000003" customHeight="1" x14ac:dyDescent="0.25"/>
    <row r="1485" ht="40.200000000000003" customHeight="1" x14ac:dyDescent="0.25"/>
    <row r="1486" ht="40.200000000000003" customHeight="1" x14ac:dyDescent="0.25"/>
    <row r="1487" ht="40.200000000000003" customHeight="1" x14ac:dyDescent="0.25"/>
    <row r="1488" ht="40.200000000000003" customHeight="1" x14ac:dyDescent="0.25"/>
    <row r="1489" ht="40.200000000000003" customHeight="1" x14ac:dyDescent="0.25"/>
    <row r="1490" ht="40.200000000000003" customHeight="1" x14ac:dyDescent="0.25"/>
    <row r="1491" ht="40.200000000000003" customHeight="1" x14ac:dyDescent="0.25"/>
    <row r="1492" ht="40.200000000000003" customHeight="1" x14ac:dyDescent="0.25"/>
    <row r="1493" ht="40.200000000000003" customHeight="1" x14ac:dyDescent="0.25"/>
    <row r="1494" ht="40.200000000000003" customHeight="1" x14ac:dyDescent="0.25"/>
    <row r="1495" ht="40.200000000000003" customHeight="1" x14ac:dyDescent="0.25"/>
    <row r="1496" ht="40.200000000000003" customHeight="1" x14ac:dyDescent="0.25"/>
    <row r="1497" ht="40.200000000000003" customHeight="1" x14ac:dyDescent="0.25"/>
    <row r="1498" ht="40.200000000000003" customHeight="1" x14ac:dyDescent="0.25"/>
    <row r="1499" ht="40.200000000000003" customHeight="1" x14ac:dyDescent="0.25"/>
    <row r="1500" ht="40.200000000000003" customHeight="1" x14ac:dyDescent="0.25"/>
    <row r="1501" ht="40.200000000000003" customHeight="1" x14ac:dyDescent="0.25"/>
    <row r="1502" ht="40.200000000000003" customHeight="1" x14ac:dyDescent="0.25"/>
    <row r="1503" ht="40.200000000000003" customHeight="1" x14ac:dyDescent="0.25"/>
    <row r="1504" ht="40.200000000000003" customHeight="1" x14ac:dyDescent="0.25"/>
    <row r="1505" ht="40.200000000000003" customHeight="1" x14ac:dyDescent="0.25"/>
    <row r="1506" ht="40.200000000000003" customHeight="1" x14ac:dyDescent="0.25"/>
    <row r="1507" ht="40.200000000000003" customHeight="1" x14ac:dyDescent="0.25"/>
    <row r="1508" ht="40.200000000000003" customHeight="1" x14ac:dyDescent="0.25"/>
    <row r="1509" ht="40.200000000000003" customHeight="1" x14ac:dyDescent="0.25"/>
    <row r="1510" ht="40.200000000000003" customHeight="1" x14ac:dyDescent="0.25"/>
    <row r="1511" ht="40.200000000000003" customHeight="1" x14ac:dyDescent="0.25"/>
    <row r="1512" ht="40.200000000000003" customHeight="1" x14ac:dyDescent="0.25"/>
    <row r="1513" ht="40.200000000000003" customHeight="1" x14ac:dyDescent="0.25"/>
    <row r="1514" ht="40.200000000000003" customHeight="1" x14ac:dyDescent="0.25"/>
    <row r="1515" ht="40.200000000000003" customHeight="1" x14ac:dyDescent="0.25"/>
    <row r="1516" ht="40.200000000000003" customHeight="1" x14ac:dyDescent="0.25"/>
    <row r="1517" ht="40.200000000000003" customHeight="1" x14ac:dyDescent="0.25"/>
    <row r="1518" ht="40.200000000000003" customHeight="1" x14ac:dyDescent="0.25"/>
    <row r="1519" ht="40.200000000000003" customHeight="1" x14ac:dyDescent="0.25"/>
    <row r="1520" ht="40.200000000000003" customHeight="1" x14ac:dyDescent="0.25"/>
    <row r="1521" ht="40.200000000000003" customHeight="1" x14ac:dyDescent="0.25"/>
    <row r="1522" ht="40.200000000000003" customHeight="1" x14ac:dyDescent="0.25"/>
    <row r="1523" ht="40.200000000000003" customHeight="1" x14ac:dyDescent="0.25"/>
    <row r="1524" ht="40.200000000000003" customHeight="1" x14ac:dyDescent="0.25"/>
    <row r="1525" ht="40.200000000000003" customHeight="1" x14ac:dyDescent="0.25"/>
    <row r="1526" ht="40.200000000000003" customHeight="1" x14ac:dyDescent="0.25"/>
    <row r="1527" ht="40.200000000000003" customHeight="1" x14ac:dyDescent="0.25"/>
    <row r="1528" ht="40.200000000000003" customHeight="1" x14ac:dyDescent="0.25"/>
    <row r="1529" ht="40.200000000000003" customHeight="1" x14ac:dyDescent="0.25"/>
    <row r="1530" ht="40.200000000000003" customHeight="1" x14ac:dyDescent="0.25"/>
    <row r="1531" ht="40.200000000000003" customHeight="1" x14ac:dyDescent="0.25"/>
    <row r="1532" ht="40.200000000000003" customHeight="1" x14ac:dyDescent="0.25"/>
    <row r="1533" ht="40.200000000000003" customHeight="1" x14ac:dyDescent="0.25"/>
    <row r="1534" ht="40.200000000000003" customHeight="1" x14ac:dyDescent="0.25"/>
    <row r="1535" ht="40.200000000000003" customHeight="1" x14ac:dyDescent="0.25"/>
    <row r="1536" ht="40.200000000000003" customHeight="1" x14ac:dyDescent="0.25"/>
    <row r="1537" ht="40.200000000000003" customHeight="1" x14ac:dyDescent="0.25"/>
    <row r="1538" ht="40.200000000000003" customHeight="1" x14ac:dyDescent="0.25"/>
    <row r="1539" ht="40.200000000000003" customHeight="1" x14ac:dyDescent="0.25"/>
    <row r="1540" ht="40.200000000000003" customHeight="1" x14ac:dyDescent="0.25"/>
    <row r="1541" ht="40.200000000000003" customHeight="1" x14ac:dyDescent="0.25"/>
    <row r="1542" ht="40.200000000000003" customHeight="1" x14ac:dyDescent="0.25"/>
    <row r="1543" ht="40.200000000000003" customHeight="1" x14ac:dyDescent="0.25"/>
    <row r="1544" ht="40.200000000000003" customHeight="1" x14ac:dyDescent="0.25"/>
    <row r="1545" ht="40.200000000000003" customHeight="1" x14ac:dyDescent="0.25"/>
    <row r="1546" ht="40.200000000000003" customHeight="1" x14ac:dyDescent="0.25"/>
    <row r="1547" ht="40.200000000000003" customHeight="1" x14ac:dyDescent="0.25"/>
    <row r="1548" ht="40.200000000000003" customHeight="1" x14ac:dyDescent="0.25"/>
    <row r="1549" ht="40.200000000000003" customHeight="1" x14ac:dyDescent="0.25"/>
    <row r="1550" ht="40.200000000000003" customHeight="1" x14ac:dyDescent="0.25"/>
    <row r="1551" ht="40.200000000000003" customHeight="1" x14ac:dyDescent="0.25"/>
    <row r="1552" ht="40.200000000000003" customHeight="1" x14ac:dyDescent="0.25"/>
    <row r="1553" ht="40.200000000000003" customHeight="1" x14ac:dyDescent="0.25"/>
    <row r="1554" ht="40.200000000000003" customHeight="1" x14ac:dyDescent="0.25"/>
    <row r="1555" ht="40.200000000000003" customHeight="1" x14ac:dyDescent="0.25"/>
    <row r="1556" ht="40.200000000000003" customHeight="1" x14ac:dyDescent="0.25"/>
    <row r="1557" ht="40.200000000000003" customHeight="1" x14ac:dyDescent="0.25"/>
    <row r="1558" ht="40.200000000000003" customHeight="1" x14ac:dyDescent="0.25"/>
    <row r="1559" ht="40.200000000000003" customHeight="1" x14ac:dyDescent="0.25"/>
    <row r="1560" ht="40.200000000000003" customHeight="1" x14ac:dyDescent="0.25"/>
    <row r="1561" ht="40.200000000000003" customHeight="1" x14ac:dyDescent="0.25"/>
    <row r="1562" ht="40.200000000000003" customHeight="1" x14ac:dyDescent="0.25"/>
    <row r="1563" ht="40.200000000000003" customHeight="1" x14ac:dyDescent="0.25"/>
    <row r="1564" ht="40.200000000000003" customHeight="1" x14ac:dyDescent="0.25"/>
    <row r="1565" ht="40.200000000000003" customHeight="1" x14ac:dyDescent="0.25"/>
    <row r="1566" ht="40.200000000000003" customHeight="1" x14ac:dyDescent="0.25"/>
    <row r="1567" ht="40.200000000000003" customHeight="1" x14ac:dyDescent="0.25"/>
    <row r="1568" ht="40.200000000000003" customHeight="1" x14ac:dyDescent="0.25"/>
    <row r="1569" ht="40.200000000000003" customHeight="1" x14ac:dyDescent="0.25"/>
    <row r="1570" ht="40.200000000000003" customHeight="1" x14ac:dyDescent="0.25"/>
    <row r="1571" ht="40.200000000000003" customHeight="1" x14ac:dyDescent="0.25"/>
    <row r="1572" ht="40.200000000000003" customHeight="1" x14ac:dyDescent="0.25"/>
    <row r="1573" ht="40.200000000000003" customHeight="1" x14ac:dyDescent="0.25"/>
    <row r="1574" ht="40.200000000000003" customHeight="1" x14ac:dyDescent="0.25"/>
    <row r="1575" ht="40.200000000000003" customHeight="1" x14ac:dyDescent="0.25"/>
    <row r="1576" ht="40.200000000000003" customHeight="1" x14ac:dyDescent="0.25"/>
    <row r="1577" ht="40.200000000000003" customHeight="1" x14ac:dyDescent="0.25"/>
    <row r="1578" ht="40.200000000000003" customHeight="1" x14ac:dyDescent="0.25"/>
    <row r="1579" ht="40.200000000000003" customHeight="1" x14ac:dyDescent="0.25"/>
    <row r="1580" ht="40.200000000000003" customHeight="1" x14ac:dyDescent="0.25"/>
    <row r="1581" ht="40.200000000000003" customHeight="1" x14ac:dyDescent="0.25"/>
    <row r="1582" ht="40.200000000000003" customHeight="1" x14ac:dyDescent="0.25"/>
    <row r="1583" ht="40.200000000000003" customHeight="1" x14ac:dyDescent="0.25"/>
    <row r="1584" ht="40.200000000000003" customHeight="1" x14ac:dyDescent="0.25"/>
    <row r="1585" ht="40.200000000000003" customHeight="1" x14ac:dyDescent="0.25"/>
    <row r="1586" ht="40.200000000000003" customHeight="1" x14ac:dyDescent="0.25"/>
    <row r="1587" ht="40.200000000000003" customHeight="1" x14ac:dyDescent="0.25"/>
    <row r="1588" ht="40.200000000000003" customHeight="1" x14ac:dyDescent="0.25"/>
    <row r="1589" ht="40.200000000000003" customHeight="1" x14ac:dyDescent="0.25"/>
    <row r="1590" ht="40.200000000000003" customHeight="1" x14ac:dyDescent="0.25"/>
    <row r="1591" ht="40.200000000000003" customHeight="1" x14ac:dyDescent="0.25"/>
    <row r="1592" ht="40.200000000000003" customHeight="1" x14ac:dyDescent="0.25"/>
    <row r="1593" ht="40.200000000000003" customHeight="1" x14ac:dyDescent="0.25"/>
    <row r="1594" ht="40.200000000000003" customHeight="1" x14ac:dyDescent="0.25"/>
    <row r="1595" ht="40.200000000000003" customHeight="1" x14ac:dyDescent="0.25"/>
    <row r="1596" ht="40.200000000000003" customHeight="1" x14ac:dyDescent="0.25"/>
    <row r="1597" ht="40.200000000000003" customHeight="1" x14ac:dyDescent="0.25"/>
    <row r="1598" ht="40.200000000000003" customHeight="1" x14ac:dyDescent="0.25"/>
    <row r="1599" ht="40.200000000000003" customHeight="1" x14ac:dyDescent="0.25"/>
    <row r="1600" ht="40.200000000000003" customHeight="1" x14ac:dyDescent="0.25"/>
    <row r="1601" ht="40.200000000000003" customHeight="1" x14ac:dyDescent="0.25"/>
    <row r="1602" ht="40.200000000000003" customHeight="1" x14ac:dyDescent="0.25"/>
    <row r="1603" ht="40.200000000000003" customHeight="1" x14ac:dyDescent="0.25"/>
    <row r="1604" ht="40.200000000000003" customHeight="1" x14ac:dyDescent="0.25"/>
    <row r="1605" ht="40.200000000000003" customHeight="1" x14ac:dyDescent="0.25"/>
    <row r="1606" ht="40.200000000000003" customHeight="1" x14ac:dyDescent="0.25"/>
    <row r="1607" ht="40.200000000000003" customHeight="1" x14ac:dyDescent="0.25"/>
    <row r="1608" ht="40.200000000000003" customHeight="1" x14ac:dyDescent="0.25"/>
    <row r="1609" ht="40.200000000000003" customHeight="1" x14ac:dyDescent="0.25"/>
    <row r="1610" ht="40.200000000000003" customHeight="1" x14ac:dyDescent="0.25"/>
    <row r="1611" ht="40.200000000000003" customHeight="1" x14ac:dyDescent="0.25"/>
    <row r="1612" ht="40.200000000000003" customHeight="1" x14ac:dyDescent="0.25"/>
    <row r="1613" ht="40.200000000000003" customHeight="1" x14ac:dyDescent="0.25"/>
    <row r="1614" ht="40.200000000000003" customHeight="1" x14ac:dyDescent="0.25"/>
    <row r="1615" ht="40.200000000000003" customHeight="1" x14ac:dyDescent="0.25"/>
    <row r="1616" ht="40.200000000000003" customHeight="1" x14ac:dyDescent="0.25"/>
    <row r="1617" ht="40.200000000000003" customHeight="1" x14ac:dyDescent="0.25"/>
    <row r="1618" ht="40.200000000000003" customHeight="1" x14ac:dyDescent="0.25"/>
    <row r="1619" ht="40.200000000000003" customHeight="1" x14ac:dyDescent="0.25"/>
    <row r="1620" ht="40.200000000000003" customHeight="1" x14ac:dyDescent="0.25"/>
    <row r="1621" ht="40.200000000000003" customHeight="1" x14ac:dyDescent="0.25"/>
    <row r="1622" ht="40.200000000000003" customHeight="1" x14ac:dyDescent="0.25"/>
    <row r="1623" ht="40.200000000000003" customHeight="1" x14ac:dyDescent="0.25"/>
    <row r="1624" ht="40.200000000000003" customHeight="1" x14ac:dyDescent="0.25"/>
    <row r="1625" ht="40.200000000000003" customHeight="1" x14ac:dyDescent="0.25"/>
    <row r="1626" ht="40.200000000000003" customHeight="1" x14ac:dyDescent="0.25"/>
    <row r="1627" ht="40.200000000000003" customHeight="1" x14ac:dyDescent="0.25"/>
    <row r="1628" ht="40.200000000000003" customHeight="1" x14ac:dyDescent="0.25"/>
    <row r="1629" ht="40.200000000000003" customHeight="1" x14ac:dyDescent="0.25"/>
    <row r="1630" ht="40.200000000000003" customHeight="1" x14ac:dyDescent="0.25"/>
    <row r="1631" ht="40.200000000000003" customHeight="1" x14ac:dyDescent="0.25"/>
    <row r="1632" ht="40.200000000000003" customHeight="1" x14ac:dyDescent="0.25"/>
    <row r="1633" ht="40.200000000000003" customHeight="1" x14ac:dyDescent="0.25"/>
    <row r="1634" ht="40.200000000000003" customHeight="1" x14ac:dyDescent="0.25"/>
    <row r="1635" ht="40.200000000000003" customHeight="1" x14ac:dyDescent="0.25"/>
    <row r="1636" ht="40.200000000000003" customHeight="1" x14ac:dyDescent="0.25"/>
    <row r="1637" ht="40.200000000000003" customHeight="1" x14ac:dyDescent="0.25"/>
    <row r="1638" ht="40.200000000000003" customHeight="1" x14ac:dyDescent="0.25"/>
    <row r="1639" ht="40.200000000000003" customHeight="1" x14ac:dyDescent="0.25"/>
    <row r="1640" ht="40.200000000000003" customHeight="1" x14ac:dyDescent="0.25"/>
    <row r="1641" ht="40.200000000000003" customHeight="1" x14ac:dyDescent="0.25"/>
    <row r="1642" ht="40.200000000000003" customHeight="1" x14ac:dyDescent="0.25"/>
    <row r="1643" ht="40.200000000000003" customHeight="1" x14ac:dyDescent="0.25"/>
    <row r="1644" ht="40.200000000000003" customHeight="1" x14ac:dyDescent="0.25"/>
    <row r="1645" ht="40.200000000000003" customHeight="1" x14ac:dyDescent="0.25"/>
    <row r="1646" ht="40.200000000000003" customHeight="1" x14ac:dyDescent="0.25"/>
    <row r="1647" ht="40.200000000000003" customHeight="1" x14ac:dyDescent="0.25"/>
    <row r="1648" ht="40.200000000000003" customHeight="1" x14ac:dyDescent="0.25"/>
    <row r="1649" ht="40.200000000000003" customHeight="1" x14ac:dyDescent="0.25"/>
    <row r="1650" ht="40.200000000000003" customHeight="1" x14ac:dyDescent="0.25"/>
    <row r="1651" ht="40.200000000000003" customHeight="1" x14ac:dyDescent="0.25"/>
    <row r="1652" ht="40.200000000000003" customHeight="1" x14ac:dyDescent="0.25"/>
    <row r="1653" ht="40.200000000000003" customHeight="1" x14ac:dyDescent="0.25"/>
    <row r="1654" ht="40.200000000000003" customHeight="1" x14ac:dyDescent="0.25"/>
    <row r="1655" ht="40.200000000000003" customHeight="1" x14ac:dyDescent="0.25"/>
    <row r="1656" ht="40.200000000000003" customHeight="1" x14ac:dyDescent="0.25"/>
    <row r="1657" ht="40.200000000000003" customHeight="1" x14ac:dyDescent="0.25"/>
    <row r="1658" ht="40.200000000000003" customHeight="1" x14ac:dyDescent="0.25"/>
    <row r="1659" ht="40.200000000000003" customHeight="1" x14ac:dyDescent="0.25"/>
    <row r="1660" ht="40.200000000000003" customHeight="1" x14ac:dyDescent="0.25"/>
    <row r="1661" ht="40.200000000000003" customHeight="1" x14ac:dyDescent="0.25"/>
    <row r="1662" ht="40.200000000000003" customHeight="1" x14ac:dyDescent="0.25"/>
    <row r="1663" ht="40.200000000000003" customHeight="1" x14ac:dyDescent="0.25"/>
    <row r="1664" ht="40.200000000000003" customHeight="1" x14ac:dyDescent="0.25"/>
    <row r="1665" ht="40.200000000000003" customHeight="1" x14ac:dyDescent="0.25"/>
    <row r="1666" ht="40.200000000000003" customHeight="1" x14ac:dyDescent="0.25"/>
    <row r="1667" ht="40.200000000000003" customHeight="1" x14ac:dyDescent="0.25"/>
    <row r="1668" ht="40.200000000000003" customHeight="1" x14ac:dyDescent="0.25"/>
    <row r="1669" ht="40.200000000000003" customHeight="1" x14ac:dyDescent="0.25"/>
    <row r="1670" ht="40.200000000000003" customHeight="1" x14ac:dyDescent="0.25"/>
    <row r="1671" ht="40.200000000000003" customHeight="1" x14ac:dyDescent="0.25"/>
    <row r="1672" ht="40.200000000000003" customHeight="1" x14ac:dyDescent="0.25"/>
    <row r="1673" ht="40.200000000000003" customHeight="1" x14ac:dyDescent="0.25"/>
    <row r="1674" ht="40.200000000000003" customHeight="1" x14ac:dyDescent="0.25"/>
    <row r="1675" ht="40.200000000000003" customHeight="1" x14ac:dyDescent="0.25"/>
    <row r="1676" ht="40.200000000000003" customHeight="1" x14ac:dyDescent="0.25"/>
    <row r="1677" ht="40.200000000000003" customHeight="1" x14ac:dyDescent="0.25"/>
    <row r="1678" ht="40.200000000000003" customHeight="1" x14ac:dyDescent="0.25"/>
    <row r="1679" ht="40.200000000000003" customHeight="1" x14ac:dyDescent="0.25"/>
    <row r="1680" ht="40.200000000000003" customHeight="1" x14ac:dyDescent="0.25"/>
    <row r="1681" ht="40.200000000000003" customHeight="1" x14ac:dyDescent="0.25"/>
    <row r="1682" ht="40.200000000000003" customHeight="1" x14ac:dyDescent="0.25"/>
    <row r="1683" ht="40.200000000000003" customHeight="1" x14ac:dyDescent="0.25"/>
    <row r="1684" ht="40.200000000000003" customHeight="1" x14ac:dyDescent="0.25"/>
    <row r="1685" ht="40.200000000000003" customHeight="1" x14ac:dyDescent="0.25"/>
    <row r="1686" ht="40.200000000000003" customHeight="1" x14ac:dyDescent="0.25"/>
    <row r="1687" ht="40.200000000000003" customHeight="1" x14ac:dyDescent="0.25"/>
    <row r="1688" ht="40.200000000000003" customHeight="1" x14ac:dyDescent="0.25"/>
    <row r="1689" ht="40.200000000000003" customHeight="1" x14ac:dyDescent="0.25"/>
    <row r="1690" ht="40.200000000000003" customHeight="1" x14ac:dyDescent="0.25"/>
    <row r="1691" ht="40.200000000000003" customHeight="1" x14ac:dyDescent="0.25"/>
    <row r="1692" ht="40.200000000000003" customHeight="1" x14ac:dyDescent="0.25"/>
    <row r="1693" ht="40.200000000000003" customHeight="1" x14ac:dyDescent="0.25"/>
    <row r="1694" ht="40.200000000000003" customHeight="1" x14ac:dyDescent="0.25"/>
    <row r="1695" ht="40.200000000000003" customHeight="1" x14ac:dyDescent="0.25"/>
    <row r="1696" ht="40.200000000000003" customHeight="1" x14ac:dyDescent="0.25"/>
    <row r="1697" ht="40.200000000000003" customHeight="1" x14ac:dyDescent="0.25"/>
    <row r="1698" ht="40.200000000000003" customHeight="1" x14ac:dyDescent="0.25"/>
    <row r="1699" ht="40.200000000000003" customHeight="1" x14ac:dyDescent="0.25"/>
    <row r="1700" ht="40.200000000000003" customHeight="1" x14ac:dyDescent="0.25"/>
    <row r="1701" ht="40.200000000000003" customHeight="1" x14ac:dyDescent="0.25"/>
    <row r="1702" ht="40.200000000000003" customHeight="1" x14ac:dyDescent="0.25"/>
    <row r="1703" ht="40.200000000000003" customHeight="1" x14ac:dyDescent="0.25"/>
    <row r="1704" ht="40.200000000000003" customHeight="1" x14ac:dyDescent="0.25"/>
    <row r="1705" ht="40.200000000000003" customHeight="1" x14ac:dyDescent="0.25"/>
    <row r="1706" ht="40.200000000000003" customHeight="1" x14ac:dyDescent="0.25"/>
    <row r="1707" ht="40.200000000000003" customHeight="1" x14ac:dyDescent="0.25"/>
    <row r="1708" ht="40.200000000000003" customHeight="1" x14ac:dyDescent="0.25"/>
    <row r="1709" ht="40.200000000000003" customHeight="1" x14ac:dyDescent="0.25"/>
    <row r="1710" ht="40.200000000000003" customHeight="1" x14ac:dyDescent="0.25"/>
    <row r="1711" ht="40.200000000000003" customHeight="1" x14ac:dyDescent="0.25"/>
    <row r="1712" ht="40.200000000000003" customHeight="1" x14ac:dyDescent="0.25"/>
    <row r="1713" ht="40.200000000000003" customHeight="1" x14ac:dyDescent="0.25"/>
    <row r="1714" ht="40.200000000000003" customHeight="1" x14ac:dyDescent="0.25"/>
    <row r="1715" ht="40.200000000000003" customHeight="1" x14ac:dyDescent="0.25"/>
    <row r="1716" ht="40.200000000000003" customHeight="1" x14ac:dyDescent="0.25"/>
    <row r="1717" ht="40.200000000000003" customHeight="1" x14ac:dyDescent="0.25"/>
    <row r="1718" ht="40.200000000000003" customHeight="1" x14ac:dyDescent="0.25"/>
    <row r="1719" ht="40.200000000000003" customHeight="1" x14ac:dyDescent="0.25"/>
    <row r="1720" ht="40.200000000000003" customHeight="1" x14ac:dyDescent="0.25"/>
    <row r="1721" ht="40.200000000000003" customHeight="1" x14ac:dyDescent="0.25"/>
    <row r="1722" ht="40.200000000000003" customHeight="1" x14ac:dyDescent="0.25"/>
    <row r="1723" ht="40.200000000000003" customHeight="1" x14ac:dyDescent="0.25"/>
    <row r="1724" ht="40.200000000000003" customHeight="1" x14ac:dyDescent="0.25"/>
    <row r="1725" ht="40.200000000000003" customHeight="1" x14ac:dyDescent="0.25"/>
    <row r="1726" ht="40.200000000000003" customHeight="1" x14ac:dyDescent="0.25"/>
    <row r="1727" ht="40.200000000000003" customHeight="1" x14ac:dyDescent="0.25"/>
    <row r="1728" ht="40.200000000000003" customHeight="1" x14ac:dyDescent="0.25"/>
    <row r="1729" ht="40.200000000000003" customHeight="1" x14ac:dyDescent="0.25"/>
    <row r="1730" ht="40.200000000000003" customHeight="1" x14ac:dyDescent="0.25"/>
    <row r="1731" ht="40.200000000000003" customHeight="1" x14ac:dyDescent="0.25"/>
    <row r="1732" ht="40.200000000000003" customHeight="1" x14ac:dyDescent="0.25"/>
    <row r="1733" ht="40.200000000000003" customHeight="1" x14ac:dyDescent="0.25"/>
    <row r="1734" ht="40.200000000000003" customHeight="1" x14ac:dyDescent="0.25"/>
    <row r="1735" ht="40.200000000000003" customHeight="1" x14ac:dyDescent="0.25"/>
    <row r="1736" ht="40.200000000000003" customHeight="1" x14ac:dyDescent="0.25"/>
    <row r="1737" ht="40.200000000000003" customHeight="1" x14ac:dyDescent="0.25"/>
    <row r="1738" ht="40.200000000000003" customHeight="1" x14ac:dyDescent="0.25"/>
    <row r="1739" ht="40.200000000000003" customHeight="1" x14ac:dyDescent="0.25"/>
    <row r="1740" ht="40.200000000000003" customHeight="1" x14ac:dyDescent="0.25"/>
    <row r="1741" ht="40.200000000000003" customHeight="1" x14ac:dyDescent="0.25"/>
    <row r="1742" ht="40.200000000000003" customHeight="1" x14ac:dyDescent="0.25"/>
    <row r="1743" ht="40.200000000000003" customHeight="1" x14ac:dyDescent="0.25"/>
    <row r="1744" ht="40.200000000000003" customHeight="1" x14ac:dyDescent="0.25"/>
    <row r="1745" ht="40.200000000000003" customHeight="1" x14ac:dyDescent="0.25"/>
    <row r="1746" ht="40.200000000000003" customHeight="1" x14ac:dyDescent="0.25"/>
    <row r="1747" ht="40.200000000000003" customHeight="1" x14ac:dyDescent="0.25"/>
    <row r="1748" ht="40.200000000000003" customHeight="1" x14ac:dyDescent="0.25"/>
    <row r="1749" ht="40.200000000000003" customHeight="1" x14ac:dyDescent="0.25"/>
    <row r="1750" ht="40.200000000000003" customHeight="1" x14ac:dyDescent="0.25"/>
    <row r="1751" ht="40.200000000000003" customHeight="1" x14ac:dyDescent="0.25"/>
    <row r="1752" ht="40.200000000000003" customHeight="1" x14ac:dyDescent="0.25"/>
    <row r="1753" ht="40.200000000000003" customHeight="1" x14ac:dyDescent="0.25"/>
    <row r="1754" ht="40.200000000000003" customHeight="1" x14ac:dyDescent="0.25"/>
    <row r="1755" ht="40.200000000000003" customHeight="1" x14ac:dyDescent="0.25"/>
    <row r="1756" ht="40.200000000000003" customHeight="1" x14ac:dyDescent="0.25"/>
    <row r="1757" ht="40.200000000000003" customHeight="1" x14ac:dyDescent="0.25"/>
    <row r="1758" ht="40.200000000000003" customHeight="1" x14ac:dyDescent="0.25"/>
    <row r="1759" ht="40.200000000000003" customHeight="1" x14ac:dyDescent="0.25"/>
    <row r="1760" ht="40.200000000000003" customHeight="1" x14ac:dyDescent="0.25"/>
    <row r="1761" ht="40.200000000000003" customHeight="1" x14ac:dyDescent="0.25"/>
    <row r="1762" ht="40.200000000000003" customHeight="1" x14ac:dyDescent="0.25"/>
    <row r="1763" ht="40.200000000000003" customHeight="1" x14ac:dyDescent="0.25"/>
    <row r="1764" ht="40.200000000000003" customHeight="1" x14ac:dyDescent="0.25"/>
    <row r="1765" ht="40.200000000000003" customHeight="1" x14ac:dyDescent="0.25"/>
    <row r="1766" ht="40.200000000000003" customHeight="1" x14ac:dyDescent="0.25"/>
    <row r="1767" ht="40.200000000000003" customHeight="1" x14ac:dyDescent="0.25"/>
    <row r="1768" ht="40.200000000000003" customHeight="1" x14ac:dyDescent="0.25"/>
    <row r="1769" ht="40.200000000000003" customHeight="1" x14ac:dyDescent="0.25"/>
    <row r="1770" ht="40.200000000000003" customHeight="1" x14ac:dyDescent="0.25"/>
    <row r="1771" ht="40.200000000000003" customHeight="1" x14ac:dyDescent="0.25"/>
    <row r="1772" ht="40.200000000000003" customHeight="1" x14ac:dyDescent="0.25"/>
    <row r="1773" ht="40.200000000000003" customHeight="1" x14ac:dyDescent="0.25"/>
    <row r="1774" ht="40.200000000000003" customHeight="1" x14ac:dyDescent="0.25"/>
    <row r="1775" ht="40.200000000000003" customHeight="1" x14ac:dyDescent="0.25"/>
    <row r="1776" ht="40.200000000000003" customHeight="1" x14ac:dyDescent="0.25"/>
    <row r="1777" ht="40.200000000000003" customHeight="1" x14ac:dyDescent="0.25"/>
    <row r="1778" ht="40.200000000000003" customHeight="1" x14ac:dyDescent="0.25"/>
    <row r="1779" ht="40.200000000000003" customHeight="1" x14ac:dyDescent="0.25"/>
    <row r="1780" ht="40.200000000000003" customHeight="1" x14ac:dyDescent="0.25"/>
    <row r="1781" ht="40.200000000000003" customHeight="1" x14ac:dyDescent="0.25"/>
    <row r="1782" ht="40.200000000000003" customHeight="1" x14ac:dyDescent="0.25"/>
    <row r="1783" ht="40.200000000000003" customHeight="1" x14ac:dyDescent="0.25"/>
    <row r="1784" ht="40.200000000000003" customHeight="1" x14ac:dyDescent="0.25"/>
    <row r="1785" ht="40.200000000000003" customHeight="1" x14ac:dyDescent="0.25"/>
    <row r="1786" ht="40.200000000000003" customHeight="1" x14ac:dyDescent="0.25"/>
    <row r="1787" ht="40.200000000000003" customHeight="1" x14ac:dyDescent="0.25"/>
    <row r="1788" ht="40.200000000000003" customHeight="1" x14ac:dyDescent="0.25"/>
    <row r="1789" ht="40.200000000000003" customHeight="1" x14ac:dyDescent="0.25"/>
    <row r="1790" ht="40.200000000000003" customHeight="1" x14ac:dyDescent="0.25"/>
    <row r="1791" ht="40.200000000000003" customHeight="1" x14ac:dyDescent="0.25"/>
    <row r="1792" ht="40.200000000000003" customHeight="1" x14ac:dyDescent="0.25"/>
    <row r="1793" ht="40.200000000000003" customHeight="1" x14ac:dyDescent="0.25"/>
    <row r="1794" ht="40.200000000000003" customHeight="1" x14ac:dyDescent="0.25"/>
    <row r="1795" ht="40.200000000000003" customHeight="1" x14ac:dyDescent="0.25"/>
    <row r="1796" ht="40.200000000000003" customHeight="1" x14ac:dyDescent="0.25"/>
    <row r="1797" ht="40.200000000000003" customHeight="1" x14ac:dyDescent="0.25"/>
    <row r="1798" ht="40.200000000000003" customHeight="1" x14ac:dyDescent="0.25"/>
    <row r="1799" ht="40.200000000000003" customHeight="1" x14ac:dyDescent="0.25"/>
    <row r="1800" ht="40.200000000000003" customHeight="1" x14ac:dyDescent="0.25"/>
    <row r="1801" ht="40.200000000000003" customHeight="1" x14ac:dyDescent="0.25"/>
    <row r="1802" ht="40.200000000000003" customHeight="1" x14ac:dyDescent="0.25"/>
    <row r="1803" ht="40.200000000000003" customHeight="1" x14ac:dyDescent="0.25"/>
    <row r="1804" ht="40.200000000000003" customHeight="1" x14ac:dyDescent="0.25"/>
    <row r="1805" ht="40.200000000000003" customHeight="1" x14ac:dyDescent="0.25"/>
    <row r="1806" ht="40.200000000000003" customHeight="1" x14ac:dyDescent="0.25"/>
    <row r="1807" ht="40.200000000000003" customHeight="1" x14ac:dyDescent="0.25"/>
    <row r="1808" ht="40.200000000000003" customHeight="1" x14ac:dyDescent="0.25"/>
    <row r="1809" ht="40.200000000000003" customHeight="1" x14ac:dyDescent="0.25"/>
    <row r="1810" ht="40.200000000000003" customHeight="1" x14ac:dyDescent="0.25"/>
    <row r="1811" ht="40.200000000000003" customHeight="1" x14ac:dyDescent="0.25"/>
    <row r="1812" ht="40.200000000000003" customHeight="1" x14ac:dyDescent="0.25"/>
    <row r="1813" ht="40.200000000000003" customHeight="1" x14ac:dyDescent="0.25"/>
    <row r="1814" ht="40.200000000000003" customHeight="1" x14ac:dyDescent="0.25"/>
    <row r="1815" ht="40.200000000000003" customHeight="1" x14ac:dyDescent="0.25"/>
    <row r="1816" ht="40.200000000000003" customHeight="1" x14ac:dyDescent="0.25"/>
    <row r="1817" ht="40.200000000000003" customHeight="1" x14ac:dyDescent="0.25"/>
    <row r="1818" ht="40.200000000000003" customHeight="1" x14ac:dyDescent="0.25"/>
    <row r="1819" ht="40.200000000000003" customHeight="1" x14ac:dyDescent="0.25"/>
    <row r="1820" ht="40.200000000000003" customHeight="1" x14ac:dyDescent="0.25"/>
    <row r="1821" ht="40.200000000000003" customHeight="1" x14ac:dyDescent="0.25"/>
    <row r="1822" ht="40.200000000000003" customHeight="1" x14ac:dyDescent="0.25"/>
    <row r="1823" ht="40.200000000000003" customHeight="1" x14ac:dyDescent="0.25"/>
    <row r="1824" ht="40.200000000000003" customHeight="1" x14ac:dyDescent="0.25"/>
    <row r="1825" ht="40.200000000000003" customHeight="1" x14ac:dyDescent="0.25"/>
    <row r="1826" ht="40.200000000000003" customHeight="1" x14ac:dyDescent="0.25"/>
    <row r="1827" ht="40.200000000000003" customHeight="1" x14ac:dyDescent="0.25"/>
    <row r="1828" ht="40.200000000000003" customHeight="1" x14ac:dyDescent="0.25"/>
    <row r="1829" ht="40.200000000000003" customHeight="1" x14ac:dyDescent="0.25"/>
    <row r="1830" ht="40.200000000000003" customHeight="1" x14ac:dyDescent="0.25"/>
    <row r="1831" ht="40.200000000000003" customHeight="1" x14ac:dyDescent="0.25"/>
    <row r="1832" ht="40.200000000000003" customHeight="1" x14ac:dyDescent="0.25"/>
    <row r="1833" ht="40.200000000000003" customHeight="1" x14ac:dyDescent="0.25"/>
    <row r="1834" ht="40.200000000000003" customHeight="1" x14ac:dyDescent="0.25"/>
    <row r="1835" ht="40.200000000000003" customHeight="1" x14ac:dyDescent="0.25"/>
    <row r="1836" ht="40.200000000000003" customHeight="1" x14ac:dyDescent="0.25"/>
    <row r="1837" ht="40.200000000000003" customHeight="1" x14ac:dyDescent="0.25"/>
    <row r="1838" ht="40.200000000000003" customHeight="1" x14ac:dyDescent="0.25"/>
    <row r="1839" ht="40.200000000000003" customHeight="1" x14ac:dyDescent="0.25"/>
    <row r="1840" ht="40.200000000000003" customHeight="1" x14ac:dyDescent="0.25"/>
    <row r="1841" ht="40.200000000000003" customHeight="1" x14ac:dyDescent="0.25"/>
    <row r="1842" ht="40.200000000000003" customHeight="1" x14ac:dyDescent="0.25"/>
    <row r="1843" ht="40.200000000000003" customHeight="1" x14ac:dyDescent="0.25"/>
    <row r="1844" ht="40.200000000000003" customHeight="1" x14ac:dyDescent="0.25"/>
    <row r="1845" ht="40.200000000000003" customHeight="1" x14ac:dyDescent="0.25"/>
    <row r="1846" ht="40.200000000000003" customHeight="1" x14ac:dyDescent="0.25"/>
    <row r="1847" ht="40.200000000000003" customHeight="1" x14ac:dyDescent="0.25"/>
    <row r="1848" ht="40.200000000000003" customHeight="1" x14ac:dyDescent="0.25"/>
    <row r="1849" ht="40.200000000000003" customHeight="1" x14ac:dyDescent="0.25"/>
    <row r="1850" ht="40.200000000000003" customHeight="1" x14ac:dyDescent="0.25"/>
    <row r="1851" ht="40.200000000000003" customHeight="1" x14ac:dyDescent="0.25"/>
    <row r="1852" ht="40.200000000000003" customHeight="1" x14ac:dyDescent="0.25"/>
    <row r="1853" ht="40.200000000000003" customHeight="1" x14ac:dyDescent="0.25"/>
    <row r="1854" ht="40.200000000000003" customHeight="1" x14ac:dyDescent="0.25"/>
    <row r="1855" ht="40.200000000000003" customHeight="1" x14ac:dyDescent="0.25"/>
    <row r="1856" ht="40.200000000000003" customHeight="1" x14ac:dyDescent="0.25"/>
    <row r="1857" ht="40.200000000000003" customHeight="1" x14ac:dyDescent="0.25"/>
    <row r="1858" ht="40.200000000000003" customHeight="1" x14ac:dyDescent="0.25"/>
    <row r="1859" ht="40.200000000000003" customHeight="1" x14ac:dyDescent="0.25"/>
    <row r="1860" ht="40.200000000000003" customHeight="1" x14ac:dyDescent="0.25"/>
    <row r="1861" ht="40.200000000000003" customHeight="1" x14ac:dyDescent="0.25"/>
    <row r="1862" ht="40.200000000000003" customHeight="1" x14ac:dyDescent="0.25"/>
    <row r="1863" ht="40.200000000000003" customHeight="1" x14ac:dyDescent="0.25"/>
    <row r="1864" ht="40.200000000000003" customHeight="1" x14ac:dyDescent="0.25"/>
    <row r="1865" ht="40.200000000000003" customHeight="1" x14ac:dyDescent="0.25"/>
    <row r="1866" ht="40.200000000000003" customHeight="1" x14ac:dyDescent="0.25"/>
    <row r="1867" ht="40.200000000000003" customHeight="1" x14ac:dyDescent="0.25"/>
    <row r="1868" ht="40.200000000000003" customHeight="1" x14ac:dyDescent="0.25"/>
    <row r="1869" ht="40.200000000000003" customHeight="1" x14ac:dyDescent="0.25"/>
    <row r="1870" ht="40.200000000000003" customHeight="1" x14ac:dyDescent="0.25"/>
    <row r="1871" ht="40.200000000000003" customHeight="1" x14ac:dyDescent="0.25"/>
    <row r="1872" ht="40.200000000000003" customHeight="1" x14ac:dyDescent="0.25"/>
    <row r="1873" ht="40.200000000000003" customHeight="1" x14ac:dyDescent="0.25"/>
    <row r="1874" ht="40.200000000000003" customHeight="1" x14ac:dyDescent="0.25"/>
    <row r="1875" ht="40.200000000000003" customHeight="1" x14ac:dyDescent="0.25"/>
    <row r="1876" ht="40.200000000000003" customHeight="1" x14ac:dyDescent="0.25"/>
    <row r="1877" ht="40.200000000000003" customHeight="1" x14ac:dyDescent="0.25"/>
    <row r="1878" ht="40.200000000000003" customHeight="1" x14ac:dyDescent="0.25"/>
    <row r="1879" ht="40.200000000000003" customHeight="1" x14ac:dyDescent="0.25"/>
    <row r="1880" ht="40.200000000000003" customHeight="1" x14ac:dyDescent="0.25"/>
    <row r="1881" ht="40.200000000000003" customHeight="1" x14ac:dyDescent="0.25"/>
    <row r="1882" ht="40.200000000000003" customHeight="1" x14ac:dyDescent="0.25"/>
    <row r="1883" ht="40.200000000000003" customHeight="1" x14ac:dyDescent="0.25"/>
    <row r="1884" ht="40.200000000000003" customHeight="1" x14ac:dyDescent="0.25"/>
    <row r="1885" ht="40.200000000000003" customHeight="1" x14ac:dyDescent="0.25"/>
    <row r="1886" ht="40.200000000000003" customHeight="1" x14ac:dyDescent="0.25"/>
    <row r="1887" ht="40.200000000000003" customHeight="1" x14ac:dyDescent="0.25"/>
    <row r="1888" ht="40.200000000000003" customHeight="1" x14ac:dyDescent="0.25"/>
    <row r="1889" ht="40.200000000000003" customHeight="1" x14ac:dyDescent="0.25"/>
    <row r="1890" ht="40.200000000000003" customHeight="1" x14ac:dyDescent="0.25"/>
    <row r="1891" ht="40.200000000000003" customHeight="1" x14ac:dyDescent="0.25"/>
    <row r="1892" ht="40.200000000000003" customHeight="1" x14ac:dyDescent="0.25"/>
    <row r="1893" ht="40.200000000000003" customHeight="1" x14ac:dyDescent="0.25"/>
    <row r="1894" ht="40.200000000000003" customHeight="1" x14ac:dyDescent="0.25"/>
    <row r="1895" ht="40.200000000000003" customHeight="1" x14ac:dyDescent="0.25"/>
    <row r="1896" ht="40.200000000000003" customHeight="1" x14ac:dyDescent="0.25"/>
    <row r="1897" ht="40.200000000000003" customHeight="1" x14ac:dyDescent="0.25"/>
    <row r="1898" ht="40.200000000000003" customHeight="1" x14ac:dyDescent="0.25"/>
    <row r="1899" ht="40.200000000000003" customHeight="1" x14ac:dyDescent="0.25"/>
    <row r="1900" ht="40.200000000000003" customHeight="1" x14ac:dyDescent="0.25"/>
    <row r="1901" ht="40.200000000000003" customHeight="1" x14ac:dyDescent="0.25"/>
    <row r="1902" ht="40.200000000000003" customHeight="1" x14ac:dyDescent="0.25"/>
    <row r="1903" ht="40.200000000000003" customHeight="1" x14ac:dyDescent="0.25"/>
    <row r="1904" ht="40.200000000000003" customHeight="1" x14ac:dyDescent="0.25"/>
    <row r="1905" ht="40.200000000000003" customHeight="1" x14ac:dyDescent="0.25"/>
    <row r="1906" ht="40.200000000000003" customHeight="1" x14ac:dyDescent="0.25"/>
    <row r="1907" ht="40.200000000000003" customHeight="1" x14ac:dyDescent="0.25"/>
    <row r="1908" ht="40.200000000000003" customHeight="1" x14ac:dyDescent="0.25"/>
    <row r="1909" ht="40.200000000000003" customHeight="1" x14ac:dyDescent="0.25"/>
    <row r="1910" ht="40.200000000000003" customHeight="1" x14ac:dyDescent="0.25"/>
    <row r="1911" ht="40.200000000000003" customHeight="1" x14ac:dyDescent="0.25"/>
    <row r="1912" ht="40.200000000000003" customHeight="1" x14ac:dyDescent="0.25"/>
    <row r="1913" ht="40.200000000000003" customHeight="1" x14ac:dyDescent="0.25"/>
    <row r="1914" ht="40.200000000000003" customHeight="1" x14ac:dyDescent="0.25"/>
    <row r="1915" ht="40.200000000000003" customHeight="1" x14ac:dyDescent="0.25"/>
    <row r="1916" ht="40.200000000000003" customHeight="1" x14ac:dyDescent="0.25"/>
    <row r="1917" ht="40.200000000000003" customHeight="1" x14ac:dyDescent="0.25"/>
    <row r="1918" ht="40.200000000000003" customHeight="1" x14ac:dyDescent="0.25"/>
    <row r="1919" ht="40.200000000000003" customHeight="1" x14ac:dyDescent="0.25"/>
    <row r="1920" ht="40.200000000000003" customHeight="1" x14ac:dyDescent="0.25"/>
    <row r="1921" ht="40.200000000000003" customHeight="1" x14ac:dyDescent="0.25"/>
    <row r="1922" ht="40.200000000000003" customHeight="1" x14ac:dyDescent="0.25"/>
    <row r="1923" ht="40.200000000000003" customHeight="1" x14ac:dyDescent="0.25"/>
    <row r="1924" ht="40.200000000000003" customHeight="1" x14ac:dyDescent="0.25"/>
    <row r="1925" ht="40.200000000000003" customHeight="1" x14ac:dyDescent="0.25"/>
    <row r="1926" ht="40.200000000000003" customHeight="1" x14ac:dyDescent="0.25"/>
    <row r="1927" ht="40.200000000000003" customHeight="1" x14ac:dyDescent="0.25"/>
    <row r="1928" ht="40.200000000000003" customHeight="1" x14ac:dyDescent="0.25"/>
    <row r="1929" ht="40.200000000000003" customHeight="1" x14ac:dyDescent="0.25"/>
    <row r="1930" ht="40.200000000000003" customHeight="1" x14ac:dyDescent="0.25"/>
    <row r="1931" ht="40.200000000000003" customHeight="1" x14ac:dyDescent="0.25"/>
    <row r="1932" ht="40.200000000000003" customHeight="1" x14ac:dyDescent="0.25"/>
    <row r="1933" ht="40.200000000000003" customHeight="1" x14ac:dyDescent="0.25"/>
    <row r="1934" ht="40.200000000000003" customHeight="1" x14ac:dyDescent="0.25"/>
    <row r="1935" ht="40.200000000000003" customHeight="1" x14ac:dyDescent="0.25"/>
    <row r="1936" ht="40.200000000000003" customHeight="1" x14ac:dyDescent="0.25"/>
    <row r="1937" ht="40.200000000000003" customHeight="1" x14ac:dyDescent="0.25"/>
    <row r="1938" ht="40.200000000000003" customHeight="1" x14ac:dyDescent="0.25"/>
    <row r="1939" ht="40.200000000000003" customHeight="1" x14ac:dyDescent="0.25"/>
    <row r="1940" ht="40.200000000000003" customHeight="1" x14ac:dyDescent="0.25"/>
    <row r="1941" ht="40.200000000000003" customHeight="1" x14ac:dyDescent="0.25"/>
    <row r="1942" ht="40.200000000000003" customHeight="1" x14ac:dyDescent="0.25"/>
    <row r="1943" ht="40.200000000000003" customHeight="1" x14ac:dyDescent="0.25"/>
    <row r="1944" ht="40.200000000000003" customHeight="1" x14ac:dyDescent="0.25"/>
    <row r="1945" ht="40.200000000000003" customHeight="1" x14ac:dyDescent="0.25"/>
    <row r="1946" ht="40.200000000000003" customHeight="1" x14ac:dyDescent="0.25"/>
    <row r="1947" ht="40.200000000000003" customHeight="1" x14ac:dyDescent="0.25"/>
    <row r="1948" ht="40.200000000000003" customHeight="1" x14ac:dyDescent="0.25"/>
    <row r="1949" ht="40.200000000000003" customHeight="1" x14ac:dyDescent="0.25"/>
    <row r="1950" ht="40.200000000000003" customHeight="1" x14ac:dyDescent="0.25"/>
    <row r="1951" ht="40.200000000000003" customHeight="1" x14ac:dyDescent="0.25"/>
    <row r="1952" ht="40.200000000000003" customHeight="1" x14ac:dyDescent="0.25"/>
    <row r="1953" ht="40.200000000000003" customHeight="1" x14ac:dyDescent="0.25"/>
    <row r="1954" ht="40.200000000000003" customHeight="1" x14ac:dyDescent="0.25"/>
    <row r="1955" ht="40.200000000000003" customHeight="1" x14ac:dyDescent="0.25"/>
    <row r="1956" ht="40.200000000000003" customHeight="1" x14ac:dyDescent="0.25"/>
    <row r="1957" ht="40.200000000000003" customHeight="1" x14ac:dyDescent="0.25"/>
    <row r="1958" ht="40.200000000000003" customHeight="1" x14ac:dyDescent="0.25"/>
    <row r="1959" ht="40.200000000000003" customHeight="1" x14ac:dyDescent="0.25"/>
    <row r="1960" ht="40.200000000000003" customHeight="1" x14ac:dyDescent="0.25"/>
    <row r="1961" ht="40.200000000000003" customHeight="1" x14ac:dyDescent="0.25"/>
    <row r="1962" ht="40.200000000000003" customHeight="1" x14ac:dyDescent="0.25"/>
    <row r="1963" ht="40.200000000000003" customHeight="1" x14ac:dyDescent="0.25"/>
    <row r="1964" ht="40.200000000000003" customHeight="1" x14ac:dyDescent="0.25"/>
    <row r="1965" ht="40.200000000000003" customHeight="1" x14ac:dyDescent="0.25"/>
    <row r="1966" ht="40.200000000000003" customHeight="1" x14ac:dyDescent="0.25"/>
    <row r="1967" ht="40.200000000000003" customHeight="1" x14ac:dyDescent="0.25"/>
    <row r="1968" ht="40.200000000000003" customHeight="1" x14ac:dyDescent="0.25"/>
    <row r="1969" ht="40.200000000000003" customHeight="1" x14ac:dyDescent="0.25"/>
    <row r="1970" ht="40.200000000000003" customHeight="1" x14ac:dyDescent="0.25"/>
    <row r="1971" ht="40.200000000000003" customHeight="1" x14ac:dyDescent="0.25"/>
    <row r="1972" ht="40.200000000000003" customHeight="1" x14ac:dyDescent="0.25"/>
    <row r="1973" ht="40.200000000000003" customHeight="1" x14ac:dyDescent="0.25"/>
    <row r="1974" ht="40.200000000000003" customHeight="1" x14ac:dyDescent="0.25"/>
    <row r="1975" ht="40.200000000000003" customHeight="1" x14ac:dyDescent="0.25"/>
    <row r="1976" ht="40.200000000000003" customHeight="1" x14ac:dyDescent="0.25"/>
    <row r="1977" ht="40.200000000000003" customHeight="1" x14ac:dyDescent="0.25"/>
    <row r="1978" ht="40.200000000000003" customHeight="1" x14ac:dyDescent="0.25"/>
    <row r="1979" ht="40.200000000000003" customHeight="1" x14ac:dyDescent="0.25"/>
    <row r="1980" ht="40.200000000000003" customHeight="1" x14ac:dyDescent="0.25"/>
    <row r="1981" ht="40.200000000000003" customHeight="1" x14ac:dyDescent="0.25"/>
    <row r="1982" ht="40.200000000000003" customHeight="1" x14ac:dyDescent="0.25"/>
    <row r="1983" ht="40.200000000000003" customHeight="1" x14ac:dyDescent="0.25"/>
    <row r="1984" ht="40.200000000000003" customHeight="1" x14ac:dyDescent="0.25"/>
    <row r="1985" ht="40.200000000000003" customHeight="1" x14ac:dyDescent="0.25"/>
    <row r="1986" ht="40.200000000000003" customHeight="1" x14ac:dyDescent="0.25"/>
    <row r="1987" ht="40.200000000000003" customHeight="1" x14ac:dyDescent="0.25"/>
    <row r="1988" ht="40.200000000000003" customHeight="1" x14ac:dyDescent="0.25"/>
    <row r="1989" ht="40.200000000000003" customHeight="1" x14ac:dyDescent="0.25"/>
    <row r="1990" ht="40.200000000000003" customHeight="1" x14ac:dyDescent="0.25"/>
    <row r="1991" ht="40.200000000000003" customHeight="1" x14ac:dyDescent="0.25"/>
    <row r="1992" ht="40.200000000000003" customHeight="1" x14ac:dyDescent="0.25"/>
    <row r="1993" ht="40.200000000000003" customHeight="1" x14ac:dyDescent="0.25"/>
    <row r="1994" ht="40.200000000000003" customHeight="1" x14ac:dyDescent="0.25"/>
    <row r="1995" ht="40.200000000000003" customHeight="1" x14ac:dyDescent="0.25"/>
    <row r="1996" ht="40.200000000000003" customHeight="1" x14ac:dyDescent="0.25"/>
    <row r="1997" ht="40.200000000000003" customHeight="1" x14ac:dyDescent="0.25"/>
    <row r="1998" ht="40.200000000000003" customHeight="1" x14ac:dyDescent="0.25"/>
    <row r="1999" ht="40.200000000000003" customHeight="1" x14ac:dyDescent="0.25"/>
    <row r="2000" ht="40.200000000000003" customHeight="1" x14ac:dyDescent="0.25"/>
    <row r="2001" ht="40.200000000000003" customHeight="1" x14ac:dyDescent="0.25"/>
    <row r="2002" ht="40.200000000000003" customHeight="1" x14ac:dyDescent="0.25"/>
    <row r="2003" ht="40.200000000000003" customHeight="1" x14ac:dyDescent="0.25"/>
    <row r="2004" ht="40.200000000000003" customHeight="1" x14ac:dyDescent="0.25"/>
    <row r="2005" ht="40.200000000000003" customHeight="1" x14ac:dyDescent="0.25"/>
    <row r="2006" ht="40.200000000000003" customHeight="1" x14ac:dyDescent="0.25"/>
    <row r="2007" ht="40.200000000000003" customHeight="1" x14ac:dyDescent="0.25"/>
    <row r="2008" ht="40.200000000000003" customHeight="1" x14ac:dyDescent="0.25"/>
    <row r="2009" ht="40.200000000000003" customHeight="1" x14ac:dyDescent="0.25"/>
    <row r="2010" ht="40.200000000000003" customHeight="1" x14ac:dyDescent="0.25"/>
    <row r="2011" ht="40.200000000000003" customHeight="1" x14ac:dyDescent="0.25"/>
    <row r="2012" ht="40.200000000000003" customHeight="1" x14ac:dyDescent="0.25"/>
    <row r="2013" ht="40.200000000000003" customHeight="1" x14ac:dyDescent="0.25"/>
    <row r="2014" ht="40.200000000000003" customHeight="1" x14ac:dyDescent="0.25"/>
    <row r="2015" ht="40.200000000000003" customHeight="1" x14ac:dyDescent="0.25"/>
    <row r="2016" ht="40.200000000000003" customHeight="1" x14ac:dyDescent="0.25"/>
    <row r="2017" ht="40.200000000000003" customHeight="1" x14ac:dyDescent="0.25"/>
    <row r="2018" ht="40.200000000000003" customHeight="1" x14ac:dyDescent="0.25"/>
    <row r="2019" ht="40.200000000000003" customHeight="1" x14ac:dyDescent="0.25"/>
    <row r="2020" ht="40.200000000000003" customHeight="1" x14ac:dyDescent="0.25"/>
    <row r="2021" ht="40.200000000000003" customHeight="1" x14ac:dyDescent="0.25"/>
    <row r="2022" ht="40.200000000000003" customHeight="1" x14ac:dyDescent="0.25"/>
    <row r="2023" ht="40.200000000000003" customHeight="1" x14ac:dyDescent="0.25"/>
    <row r="2024" ht="40.200000000000003" customHeight="1" x14ac:dyDescent="0.25"/>
    <row r="2025" ht="40.200000000000003" customHeight="1" x14ac:dyDescent="0.25"/>
    <row r="2026" ht="40.200000000000003" customHeight="1" x14ac:dyDescent="0.25"/>
    <row r="2027" ht="40.200000000000003" customHeight="1" x14ac:dyDescent="0.25"/>
    <row r="2028" ht="40.200000000000003" customHeight="1" x14ac:dyDescent="0.25"/>
    <row r="2029" ht="40.200000000000003" customHeight="1" x14ac:dyDescent="0.25"/>
    <row r="2030" ht="40.200000000000003" customHeight="1" x14ac:dyDescent="0.25"/>
    <row r="2031" ht="40.200000000000003" customHeight="1" x14ac:dyDescent="0.25"/>
    <row r="2032" ht="40.200000000000003" customHeight="1" x14ac:dyDescent="0.25"/>
    <row r="2033" ht="40.200000000000003" customHeight="1" x14ac:dyDescent="0.25"/>
    <row r="2034" ht="40.200000000000003" customHeight="1" x14ac:dyDescent="0.25"/>
    <row r="2035" ht="40.200000000000003" customHeight="1" x14ac:dyDescent="0.25"/>
    <row r="2036" ht="40.200000000000003" customHeight="1" x14ac:dyDescent="0.25"/>
    <row r="2037" ht="40.200000000000003" customHeight="1" x14ac:dyDescent="0.25"/>
    <row r="2038" ht="40.200000000000003" customHeight="1" x14ac:dyDescent="0.25"/>
    <row r="2039" ht="40.200000000000003" customHeight="1" x14ac:dyDescent="0.25"/>
    <row r="2040" ht="40.200000000000003" customHeight="1" x14ac:dyDescent="0.25"/>
    <row r="2041" ht="40.200000000000003" customHeight="1" x14ac:dyDescent="0.25"/>
    <row r="2042" ht="40.200000000000003" customHeight="1" x14ac:dyDescent="0.25"/>
    <row r="2043" ht="40.200000000000003" customHeight="1" x14ac:dyDescent="0.25"/>
    <row r="2044" ht="40.200000000000003" customHeight="1" x14ac:dyDescent="0.25"/>
    <row r="2045" ht="40.200000000000003" customHeight="1" x14ac:dyDescent="0.25"/>
    <row r="2046" ht="40.200000000000003" customHeight="1" x14ac:dyDescent="0.25"/>
    <row r="2047" ht="40.200000000000003" customHeight="1" x14ac:dyDescent="0.25"/>
    <row r="2048" ht="40.200000000000003" customHeight="1" x14ac:dyDescent="0.25"/>
    <row r="2049" ht="40.200000000000003" customHeight="1" x14ac:dyDescent="0.25"/>
    <row r="2050" ht="40.200000000000003" customHeight="1" x14ac:dyDescent="0.25"/>
    <row r="2051" ht="40.200000000000003" customHeight="1" x14ac:dyDescent="0.25"/>
    <row r="2052" ht="40.200000000000003" customHeight="1" x14ac:dyDescent="0.25"/>
    <row r="2053" ht="40.200000000000003" customHeight="1" x14ac:dyDescent="0.25"/>
    <row r="2054" ht="40.200000000000003" customHeight="1" x14ac:dyDescent="0.25"/>
    <row r="2055" ht="40.200000000000003" customHeight="1" x14ac:dyDescent="0.25"/>
    <row r="2056" ht="40.200000000000003" customHeight="1" x14ac:dyDescent="0.25"/>
    <row r="2057" ht="40.200000000000003" customHeight="1" x14ac:dyDescent="0.25"/>
    <row r="2058" ht="40.200000000000003" customHeight="1" x14ac:dyDescent="0.25"/>
    <row r="2059" ht="40.200000000000003" customHeight="1" x14ac:dyDescent="0.25"/>
    <row r="2060" ht="40.200000000000003" customHeight="1" x14ac:dyDescent="0.25"/>
    <row r="2061" ht="40.200000000000003" customHeight="1" x14ac:dyDescent="0.25"/>
    <row r="2062" ht="40.200000000000003" customHeight="1" x14ac:dyDescent="0.25"/>
    <row r="2063" ht="40.200000000000003" customHeight="1" x14ac:dyDescent="0.25"/>
    <row r="2064" ht="40.200000000000003" customHeight="1" x14ac:dyDescent="0.25"/>
    <row r="2065" ht="40.200000000000003" customHeight="1" x14ac:dyDescent="0.25"/>
    <row r="2066" ht="40.200000000000003" customHeight="1" x14ac:dyDescent="0.25"/>
    <row r="2067" ht="40.200000000000003" customHeight="1" x14ac:dyDescent="0.25"/>
    <row r="2068" ht="40.200000000000003" customHeight="1" x14ac:dyDescent="0.25"/>
    <row r="2069" ht="40.200000000000003" customHeight="1" x14ac:dyDescent="0.25"/>
    <row r="2070" ht="40.200000000000003" customHeight="1" x14ac:dyDescent="0.25"/>
    <row r="2071" ht="40.200000000000003" customHeight="1" x14ac:dyDescent="0.25"/>
    <row r="2072" ht="40.200000000000003" customHeight="1" x14ac:dyDescent="0.25"/>
    <row r="2073" ht="40.200000000000003" customHeight="1" x14ac:dyDescent="0.25"/>
    <row r="2074" ht="40.200000000000003" customHeight="1" x14ac:dyDescent="0.25"/>
    <row r="2075" ht="40.200000000000003" customHeight="1" x14ac:dyDescent="0.25"/>
    <row r="2076" ht="40.200000000000003" customHeight="1" x14ac:dyDescent="0.25"/>
    <row r="2077" ht="40.200000000000003" customHeight="1" x14ac:dyDescent="0.25"/>
    <row r="2078" ht="40.200000000000003" customHeight="1" x14ac:dyDescent="0.25"/>
    <row r="2079" ht="40.200000000000003" customHeight="1" x14ac:dyDescent="0.25"/>
    <row r="2080" ht="40.200000000000003" customHeight="1" x14ac:dyDescent="0.25"/>
    <row r="2081" ht="40.200000000000003" customHeight="1" x14ac:dyDescent="0.25"/>
    <row r="2082" ht="40.200000000000003" customHeight="1" x14ac:dyDescent="0.25"/>
    <row r="2083" ht="40.200000000000003" customHeight="1" x14ac:dyDescent="0.25"/>
    <row r="2084" ht="40.200000000000003" customHeight="1" x14ac:dyDescent="0.25"/>
    <row r="2085" ht="40.200000000000003" customHeight="1" x14ac:dyDescent="0.25"/>
    <row r="2086" ht="40.200000000000003" customHeight="1" x14ac:dyDescent="0.25"/>
    <row r="2087" ht="40.200000000000003" customHeight="1" x14ac:dyDescent="0.25"/>
    <row r="2088" ht="40.200000000000003" customHeight="1" x14ac:dyDescent="0.25"/>
    <row r="2089" ht="40.200000000000003" customHeight="1" x14ac:dyDescent="0.25"/>
    <row r="2090" ht="40.200000000000003" customHeight="1" x14ac:dyDescent="0.25"/>
    <row r="2091" ht="40.200000000000003" customHeight="1" x14ac:dyDescent="0.25"/>
    <row r="2092" ht="40.200000000000003" customHeight="1" x14ac:dyDescent="0.25"/>
    <row r="2093" ht="40.200000000000003" customHeight="1" x14ac:dyDescent="0.25"/>
    <row r="2094" ht="40.200000000000003" customHeight="1" x14ac:dyDescent="0.25"/>
    <row r="2095" ht="40.200000000000003" customHeight="1" x14ac:dyDescent="0.25"/>
    <row r="2096" ht="40.200000000000003" customHeight="1" x14ac:dyDescent="0.25"/>
    <row r="2097" ht="40.200000000000003" customHeight="1" x14ac:dyDescent="0.25"/>
    <row r="2098" ht="40.200000000000003" customHeight="1" x14ac:dyDescent="0.25"/>
    <row r="2099" ht="40.200000000000003" customHeight="1" x14ac:dyDescent="0.25"/>
    <row r="2100" ht="40.200000000000003" customHeight="1" x14ac:dyDescent="0.25"/>
    <row r="2101" ht="40.200000000000003" customHeight="1" x14ac:dyDescent="0.25"/>
    <row r="2102" ht="40.200000000000003" customHeight="1" x14ac:dyDescent="0.25"/>
    <row r="2103" ht="40.200000000000003" customHeight="1" x14ac:dyDescent="0.25"/>
    <row r="2104" ht="40.200000000000003" customHeight="1" x14ac:dyDescent="0.25"/>
    <row r="2105" ht="40.200000000000003" customHeight="1" x14ac:dyDescent="0.25"/>
    <row r="2106" ht="40.200000000000003" customHeight="1" x14ac:dyDescent="0.25"/>
    <row r="2107" ht="40.200000000000003" customHeight="1" x14ac:dyDescent="0.25"/>
    <row r="2108" ht="40.200000000000003" customHeight="1" x14ac:dyDescent="0.25"/>
    <row r="2109" ht="40.200000000000003" customHeight="1" x14ac:dyDescent="0.25"/>
    <row r="2110" ht="40.200000000000003" customHeight="1" x14ac:dyDescent="0.25"/>
    <row r="2111" ht="40.200000000000003" customHeight="1" x14ac:dyDescent="0.25"/>
    <row r="2112" ht="40.200000000000003" customHeight="1" x14ac:dyDescent="0.25"/>
    <row r="2113" ht="40.200000000000003" customHeight="1" x14ac:dyDescent="0.25"/>
    <row r="2114" ht="40.200000000000003" customHeight="1" x14ac:dyDescent="0.25"/>
    <row r="2115" ht="40.200000000000003" customHeight="1" x14ac:dyDescent="0.25"/>
    <row r="2116" ht="40.200000000000003" customHeight="1" x14ac:dyDescent="0.25"/>
    <row r="2117" ht="40.200000000000003" customHeight="1" x14ac:dyDescent="0.25"/>
    <row r="2118" ht="40.200000000000003" customHeight="1" x14ac:dyDescent="0.25"/>
    <row r="2119" ht="40.200000000000003" customHeight="1" x14ac:dyDescent="0.25"/>
    <row r="2120" ht="40.200000000000003" customHeight="1" x14ac:dyDescent="0.25"/>
    <row r="2121" ht="40.200000000000003" customHeight="1" x14ac:dyDescent="0.25"/>
    <row r="2122" ht="40.200000000000003" customHeight="1" x14ac:dyDescent="0.25"/>
    <row r="2123" ht="40.200000000000003" customHeight="1" x14ac:dyDescent="0.25"/>
    <row r="2124" ht="40.200000000000003" customHeight="1" x14ac:dyDescent="0.25"/>
    <row r="2125" ht="40.200000000000003" customHeight="1" x14ac:dyDescent="0.25"/>
    <row r="2126" ht="40.200000000000003" customHeight="1" x14ac:dyDescent="0.25"/>
    <row r="2127" ht="40.200000000000003" customHeight="1" x14ac:dyDescent="0.25"/>
    <row r="2128" ht="40.200000000000003" customHeight="1" x14ac:dyDescent="0.25"/>
    <row r="2129" ht="40.200000000000003" customHeight="1" x14ac:dyDescent="0.25"/>
    <row r="2130" ht="40.200000000000003" customHeight="1" x14ac:dyDescent="0.25"/>
    <row r="2131" ht="40.200000000000003" customHeight="1" x14ac:dyDescent="0.25"/>
    <row r="2132" ht="40.200000000000003" customHeight="1" x14ac:dyDescent="0.25"/>
    <row r="2133" ht="40.200000000000003" customHeight="1" x14ac:dyDescent="0.25"/>
    <row r="2134" ht="40.200000000000003" customHeight="1" x14ac:dyDescent="0.25"/>
    <row r="2135" ht="40.200000000000003" customHeight="1" x14ac:dyDescent="0.25"/>
    <row r="2136" ht="40.200000000000003" customHeight="1" x14ac:dyDescent="0.25"/>
    <row r="2137" ht="40.200000000000003" customHeight="1" x14ac:dyDescent="0.25"/>
    <row r="2138" ht="40.200000000000003" customHeight="1" x14ac:dyDescent="0.25"/>
    <row r="2139" ht="40.200000000000003" customHeight="1" x14ac:dyDescent="0.25"/>
    <row r="2140" ht="40.200000000000003" customHeight="1" x14ac:dyDescent="0.25"/>
    <row r="2141" ht="40.200000000000003" customHeight="1" x14ac:dyDescent="0.25"/>
    <row r="2142" ht="40.200000000000003" customHeight="1" x14ac:dyDescent="0.25"/>
    <row r="2143" ht="40.200000000000003" customHeight="1" x14ac:dyDescent="0.25"/>
    <row r="2144" ht="40.200000000000003" customHeight="1" x14ac:dyDescent="0.25"/>
    <row r="2145" ht="40.200000000000003" customHeight="1" x14ac:dyDescent="0.25"/>
    <row r="2146" ht="40.200000000000003" customHeight="1" x14ac:dyDescent="0.25"/>
    <row r="2147" ht="40.200000000000003" customHeight="1" x14ac:dyDescent="0.25"/>
    <row r="2148" ht="40.200000000000003" customHeight="1" x14ac:dyDescent="0.25"/>
    <row r="2149" ht="40.200000000000003" customHeight="1" x14ac:dyDescent="0.25"/>
    <row r="2150" ht="40.200000000000003" customHeight="1" x14ac:dyDescent="0.25"/>
    <row r="2151" ht="40.200000000000003" customHeight="1" x14ac:dyDescent="0.25"/>
    <row r="2152" ht="40.200000000000003" customHeight="1" x14ac:dyDescent="0.25"/>
    <row r="2153" ht="40.200000000000003" customHeight="1" x14ac:dyDescent="0.25"/>
    <row r="2154" ht="40.200000000000003" customHeight="1" x14ac:dyDescent="0.25"/>
    <row r="2155" ht="40.200000000000003" customHeight="1" x14ac:dyDescent="0.25"/>
    <row r="2156" ht="40.200000000000003" customHeight="1" x14ac:dyDescent="0.25"/>
    <row r="2157" ht="40.200000000000003" customHeight="1" x14ac:dyDescent="0.25"/>
    <row r="2158" ht="40.200000000000003" customHeight="1" x14ac:dyDescent="0.25"/>
    <row r="2159" ht="40.200000000000003" customHeight="1" x14ac:dyDescent="0.25"/>
    <row r="2160" ht="40.200000000000003" customHeight="1" x14ac:dyDescent="0.25"/>
    <row r="2161" ht="40.200000000000003" customHeight="1" x14ac:dyDescent="0.25"/>
    <row r="2162" ht="40.200000000000003" customHeight="1" x14ac:dyDescent="0.25"/>
    <row r="2163" ht="40.200000000000003" customHeight="1" x14ac:dyDescent="0.25"/>
    <row r="2164" ht="40.200000000000003" customHeight="1" x14ac:dyDescent="0.25"/>
    <row r="2165" ht="40.200000000000003" customHeight="1" x14ac:dyDescent="0.25"/>
    <row r="2166" ht="40.200000000000003" customHeight="1" x14ac:dyDescent="0.25"/>
    <row r="2167" ht="40.200000000000003" customHeight="1" x14ac:dyDescent="0.25"/>
    <row r="2168" ht="40.200000000000003" customHeight="1" x14ac:dyDescent="0.25"/>
    <row r="2169" ht="40.200000000000003" customHeight="1" x14ac:dyDescent="0.25"/>
    <row r="2170" ht="40.200000000000003" customHeight="1" x14ac:dyDescent="0.25"/>
    <row r="2171" ht="40.200000000000003" customHeight="1" x14ac:dyDescent="0.25"/>
    <row r="2172" ht="40.200000000000003" customHeight="1" x14ac:dyDescent="0.25"/>
    <row r="2173" ht="40.200000000000003" customHeight="1" x14ac:dyDescent="0.25"/>
    <row r="2174" ht="40.200000000000003" customHeight="1" x14ac:dyDescent="0.25"/>
    <row r="2175" ht="40.200000000000003" customHeight="1" x14ac:dyDescent="0.25"/>
    <row r="2176" ht="40.200000000000003" customHeight="1" x14ac:dyDescent="0.25"/>
    <row r="2177" ht="40.200000000000003" customHeight="1" x14ac:dyDescent="0.25"/>
    <row r="2178" ht="40.200000000000003" customHeight="1" x14ac:dyDescent="0.25"/>
    <row r="2179" ht="40.200000000000003" customHeight="1" x14ac:dyDescent="0.25"/>
    <row r="2180" ht="40.200000000000003" customHeight="1" x14ac:dyDescent="0.25"/>
    <row r="2181" ht="40.200000000000003" customHeight="1" x14ac:dyDescent="0.25"/>
    <row r="2182" ht="40.200000000000003" customHeight="1" x14ac:dyDescent="0.25"/>
    <row r="2183" ht="40.200000000000003" customHeight="1" x14ac:dyDescent="0.25"/>
    <row r="2184" ht="40.200000000000003" customHeight="1" x14ac:dyDescent="0.25"/>
    <row r="2185" ht="40.200000000000003" customHeight="1" x14ac:dyDescent="0.25"/>
    <row r="2186" ht="40.200000000000003" customHeight="1" x14ac:dyDescent="0.25"/>
    <row r="2187" ht="40.200000000000003" customHeight="1" x14ac:dyDescent="0.25"/>
    <row r="2188" ht="40.200000000000003" customHeight="1" x14ac:dyDescent="0.25"/>
    <row r="2189" ht="40.200000000000003" customHeight="1" x14ac:dyDescent="0.25"/>
    <row r="2190" ht="40.200000000000003" customHeight="1" x14ac:dyDescent="0.25"/>
    <row r="2191" ht="40.200000000000003" customHeight="1" x14ac:dyDescent="0.25"/>
    <row r="2192" ht="40.200000000000003" customHeight="1" x14ac:dyDescent="0.25"/>
    <row r="2193" ht="40.200000000000003" customHeight="1" x14ac:dyDescent="0.25"/>
    <row r="2194" ht="40.200000000000003" customHeight="1" x14ac:dyDescent="0.25"/>
    <row r="2195" ht="40.200000000000003" customHeight="1" x14ac:dyDescent="0.25"/>
    <row r="2196" ht="40.200000000000003" customHeight="1" x14ac:dyDescent="0.25"/>
    <row r="2197" ht="40.200000000000003" customHeight="1" x14ac:dyDescent="0.25"/>
    <row r="2198" ht="40.200000000000003" customHeight="1" x14ac:dyDescent="0.25"/>
    <row r="2199" ht="40.200000000000003" customHeight="1" x14ac:dyDescent="0.25"/>
    <row r="2200" ht="40.200000000000003" customHeight="1" x14ac:dyDescent="0.25"/>
    <row r="2201" ht="40.200000000000003" customHeight="1" x14ac:dyDescent="0.25"/>
    <row r="2202" ht="40.200000000000003" customHeight="1" x14ac:dyDescent="0.25"/>
    <row r="2203" ht="40.200000000000003" customHeight="1" x14ac:dyDescent="0.25"/>
    <row r="2204" ht="40.200000000000003" customHeight="1" x14ac:dyDescent="0.25"/>
    <row r="2205" ht="40.200000000000003" customHeight="1" x14ac:dyDescent="0.25"/>
    <row r="2206" ht="40.200000000000003" customHeight="1" x14ac:dyDescent="0.25"/>
    <row r="2207" ht="40.200000000000003" customHeight="1" x14ac:dyDescent="0.25"/>
    <row r="2208" ht="40.200000000000003" customHeight="1" x14ac:dyDescent="0.25"/>
    <row r="2209" ht="40.200000000000003" customHeight="1" x14ac:dyDescent="0.25"/>
    <row r="2210" ht="40.200000000000003" customHeight="1" x14ac:dyDescent="0.25"/>
    <row r="2211" ht="40.200000000000003" customHeight="1" x14ac:dyDescent="0.25"/>
    <row r="2212" ht="40.200000000000003" customHeight="1" x14ac:dyDescent="0.25"/>
    <row r="2213" ht="40.200000000000003" customHeight="1" x14ac:dyDescent="0.25"/>
    <row r="2214" ht="40.200000000000003" customHeight="1" x14ac:dyDescent="0.25"/>
    <row r="2215" ht="40.200000000000003" customHeight="1" x14ac:dyDescent="0.25"/>
    <row r="2216" ht="40.200000000000003" customHeight="1" x14ac:dyDescent="0.25"/>
    <row r="2217" ht="40.200000000000003" customHeight="1" x14ac:dyDescent="0.25"/>
    <row r="2218" ht="40.200000000000003" customHeight="1" x14ac:dyDescent="0.25"/>
    <row r="2219" ht="40.200000000000003" customHeight="1" x14ac:dyDescent="0.25"/>
    <row r="2220" ht="40.200000000000003" customHeight="1" x14ac:dyDescent="0.25"/>
    <row r="2221" ht="40.200000000000003" customHeight="1" x14ac:dyDescent="0.25"/>
    <row r="2222" ht="40.200000000000003" customHeight="1" x14ac:dyDescent="0.25"/>
    <row r="2223" ht="40.200000000000003" customHeight="1" x14ac:dyDescent="0.25"/>
    <row r="2224" ht="40.200000000000003" customHeight="1" x14ac:dyDescent="0.25"/>
    <row r="2225" ht="40.200000000000003" customHeight="1" x14ac:dyDescent="0.25"/>
    <row r="2226" ht="40.200000000000003" customHeight="1" x14ac:dyDescent="0.25"/>
    <row r="2227" ht="40.200000000000003" customHeight="1" x14ac:dyDescent="0.25"/>
    <row r="2228" ht="40.200000000000003" customHeight="1" x14ac:dyDescent="0.25"/>
    <row r="2229" ht="40.200000000000003" customHeight="1" x14ac:dyDescent="0.25"/>
    <row r="2230" ht="40.200000000000003" customHeight="1" x14ac:dyDescent="0.25"/>
    <row r="2231" ht="40.200000000000003" customHeight="1" x14ac:dyDescent="0.25"/>
    <row r="2232" ht="40.200000000000003" customHeight="1" x14ac:dyDescent="0.25"/>
    <row r="2233" ht="40.200000000000003" customHeight="1" x14ac:dyDescent="0.25"/>
    <row r="2234" ht="40.200000000000003" customHeight="1" x14ac:dyDescent="0.25"/>
    <row r="2235" ht="40.200000000000003" customHeight="1" x14ac:dyDescent="0.25"/>
    <row r="2236" ht="40.200000000000003" customHeight="1" x14ac:dyDescent="0.25"/>
    <row r="2237" ht="40.200000000000003" customHeight="1" x14ac:dyDescent="0.25"/>
    <row r="2238" ht="40.200000000000003" customHeight="1" x14ac:dyDescent="0.25"/>
    <row r="2239" ht="40.200000000000003" customHeight="1" x14ac:dyDescent="0.25"/>
    <row r="2240" ht="40.200000000000003" customHeight="1" x14ac:dyDescent="0.25"/>
    <row r="2241" ht="40.200000000000003" customHeight="1" x14ac:dyDescent="0.25"/>
    <row r="2242" ht="40.200000000000003" customHeight="1" x14ac:dyDescent="0.25"/>
    <row r="2243" ht="40.200000000000003" customHeight="1" x14ac:dyDescent="0.25"/>
    <row r="2244" ht="40.200000000000003" customHeight="1" x14ac:dyDescent="0.25"/>
    <row r="2245" ht="40.200000000000003" customHeight="1" x14ac:dyDescent="0.25"/>
    <row r="2246" ht="40.200000000000003" customHeight="1" x14ac:dyDescent="0.25"/>
    <row r="2247" ht="40.200000000000003" customHeight="1" x14ac:dyDescent="0.25"/>
    <row r="2248" ht="40.200000000000003" customHeight="1" x14ac:dyDescent="0.25"/>
    <row r="2249" ht="40.200000000000003" customHeight="1" x14ac:dyDescent="0.25"/>
    <row r="2250" ht="40.200000000000003" customHeight="1" x14ac:dyDescent="0.25"/>
    <row r="2251" ht="40.200000000000003" customHeight="1" x14ac:dyDescent="0.25"/>
    <row r="2252" ht="40.200000000000003" customHeight="1" x14ac:dyDescent="0.25"/>
    <row r="2253" ht="40.200000000000003" customHeight="1" x14ac:dyDescent="0.25"/>
    <row r="2254" ht="40.200000000000003" customHeight="1" x14ac:dyDescent="0.25"/>
    <row r="2255" ht="40.200000000000003" customHeight="1" x14ac:dyDescent="0.25"/>
    <row r="2256" ht="40.200000000000003" customHeight="1" x14ac:dyDescent="0.25"/>
    <row r="2257" ht="40.200000000000003" customHeight="1" x14ac:dyDescent="0.25"/>
    <row r="2258" ht="40.200000000000003" customHeight="1" x14ac:dyDescent="0.25"/>
    <row r="2259" ht="40.200000000000003" customHeight="1" x14ac:dyDescent="0.25"/>
    <row r="2260" ht="40.200000000000003" customHeight="1" x14ac:dyDescent="0.25"/>
    <row r="2261" ht="40.200000000000003" customHeight="1" x14ac:dyDescent="0.25"/>
    <row r="2262" ht="40.200000000000003" customHeight="1" x14ac:dyDescent="0.25"/>
    <row r="2263" ht="40.200000000000003" customHeight="1" x14ac:dyDescent="0.25"/>
    <row r="2264" ht="40.200000000000003" customHeight="1" x14ac:dyDescent="0.25"/>
    <row r="2265" ht="40.200000000000003" customHeight="1" x14ac:dyDescent="0.25"/>
    <row r="2266" ht="40.200000000000003" customHeight="1" x14ac:dyDescent="0.25"/>
    <row r="2267" ht="40.200000000000003" customHeight="1" x14ac:dyDescent="0.25"/>
    <row r="2268" ht="40.200000000000003" customHeight="1" x14ac:dyDescent="0.25"/>
    <row r="2269" ht="40.200000000000003" customHeight="1" x14ac:dyDescent="0.25"/>
    <row r="2270" ht="40.200000000000003" customHeight="1" x14ac:dyDescent="0.25"/>
    <row r="2271" ht="40.200000000000003" customHeight="1" x14ac:dyDescent="0.25"/>
    <row r="2272" ht="40.200000000000003" customHeight="1" x14ac:dyDescent="0.25"/>
    <row r="2273" ht="40.200000000000003" customHeight="1" x14ac:dyDescent="0.25"/>
    <row r="2274" ht="40.200000000000003" customHeight="1" x14ac:dyDescent="0.25"/>
    <row r="2275" ht="40.200000000000003" customHeight="1" x14ac:dyDescent="0.25"/>
    <row r="2276" ht="40.200000000000003" customHeight="1" x14ac:dyDescent="0.25"/>
    <row r="2277" ht="40.200000000000003" customHeight="1" x14ac:dyDescent="0.25"/>
    <row r="2278" ht="40.200000000000003" customHeight="1" x14ac:dyDescent="0.25"/>
    <row r="2279" ht="40.200000000000003" customHeight="1" x14ac:dyDescent="0.25"/>
    <row r="2280" ht="40.200000000000003" customHeight="1" x14ac:dyDescent="0.25"/>
    <row r="2281" ht="40.200000000000003" customHeight="1" x14ac:dyDescent="0.25"/>
    <row r="2282" ht="40.200000000000003" customHeight="1" x14ac:dyDescent="0.25"/>
    <row r="2283" ht="40.200000000000003" customHeight="1" x14ac:dyDescent="0.25"/>
    <row r="2284" ht="40.200000000000003" customHeight="1" x14ac:dyDescent="0.25"/>
    <row r="2285" ht="40.200000000000003" customHeight="1" x14ac:dyDescent="0.25"/>
    <row r="2286" ht="40.200000000000003" customHeight="1" x14ac:dyDescent="0.25"/>
    <row r="2287" ht="40.200000000000003" customHeight="1" x14ac:dyDescent="0.25"/>
    <row r="2288" ht="40.200000000000003" customHeight="1" x14ac:dyDescent="0.25"/>
    <row r="2289" ht="40.200000000000003" customHeight="1" x14ac:dyDescent="0.25"/>
    <row r="2290" ht="40.200000000000003" customHeight="1" x14ac:dyDescent="0.25"/>
    <row r="2291" ht="40.200000000000003" customHeight="1" x14ac:dyDescent="0.25"/>
    <row r="2292" ht="40.200000000000003" customHeight="1" x14ac:dyDescent="0.25"/>
    <row r="2293" ht="40.200000000000003" customHeight="1" x14ac:dyDescent="0.25"/>
    <row r="2294" ht="40.200000000000003" customHeight="1" x14ac:dyDescent="0.25"/>
    <row r="2295" ht="40.200000000000003" customHeight="1" x14ac:dyDescent="0.25"/>
    <row r="2296" ht="40.200000000000003" customHeight="1" x14ac:dyDescent="0.25"/>
    <row r="2297" ht="40.200000000000003" customHeight="1" x14ac:dyDescent="0.25"/>
    <row r="2298" ht="40.200000000000003" customHeight="1" x14ac:dyDescent="0.25"/>
    <row r="2299" ht="40.200000000000003" customHeight="1" x14ac:dyDescent="0.25"/>
    <row r="2300" ht="40.200000000000003" customHeight="1" x14ac:dyDescent="0.25"/>
    <row r="2301" ht="40.200000000000003" customHeight="1" x14ac:dyDescent="0.25"/>
    <row r="2302" ht="40.200000000000003" customHeight="1" x14ac:dyDescent="0.25"/>
    <row r="2303" ht="40.200000000000003" customHeight="1" x14ac:dyDescent="0.25"/>
    <row r="2304" ht="40.200000000000003" customHeight="1" x14ac:dyDescent="0.25"/>
    <row r="2305" ht="40.200000000000003" customHeight="1" x14ac:dyDescent="0.25"/>
    <row r="2306" ht="40.200000000000003" customHeight="1" x14ac:dyDescent="0.25"/>
    <row r="2307" ht="40.200000000000003" customHeight="1" x14ac:dyDescent="0.25"/>
    <row r="2308" ht="40.200000000000003" customHeight="1" x14ac:dyDescent="0.25"/>
    <row r="2309" ht="40.200000000000003" customHeight="1" x14ac:dyDescent="0.25"/>
    <row r="2310" ht="40.200000000000003" customHeight="1" x14ac:dyDescent="0.25"/>
    <row r="2311" ht="40.200000000000003" customHeight="1" x14ac:dyDescent="0.25"/>
    <row r="2312" ht="40.200000000000003" customHeight="1" x14ac:dyDescent="0.25"/>
    <row r="2313" ht="40.200000000000003" customHeight="1" x14ac:dyDescent="0.25"/>
    <row r="2314" ht="40.200000000000003" customHeight="1" x14ac:dyDescent="0.25"/>
    <row r="2315" ht="40.200000000000003" customHeight="1" x14ac:dyDescent="0.25"/>
    <row r="2316" ht="40.200000000000003" customHeight="1" x14ac:dyDescent="0.25"/>
    <row r="2317" ht="40.200000000000003" customHeight="1" x14ac:dyDescent="0.25"/>
    <row r="2318" ht="40.200000000000003" customHeight="1" x14ac:dyDescent="0.25"/>
    <row r="2319" ht="40.200000000000003" customHeight="1" x14ac:dyDescent="0.25"/>
    <row r="2320" ht="40.200000000000003" customHeight="1" x14ac:dyDescent="0.25"/>
    <row r="2321" ht="40.200000000000003" customHeight="1" x14ac:dyDescent="0.25"/>
    <row r="2322" ht="40.200000000000003" customHeight="1" x14ac:dyDescent="0.25"/>
    <row r="2323" ht="40.200000000000003" customHeight="1" x14ac:dyDescent="0.25"/>
    <row r="2324" ht="40.200000000000003" customHeight="1" x14ac:dyDescent="0.25"/>
    <row r="2325" ht="40.200000000000003" customHeight="1" x14ac:dyDescent="0.25"/>
    <row r="2326" ht="40.200000000000003" customHeight="1" x14ac:dyDescent="0.25"/>
    <row r="2327" ht="40.200000000000003" customHeight="1" x14ac:dyDescent="0.25"/>
    <row r="2328" ht="40.200000000000003" customHeight="1" x14ac:dyDescent="0.25"/>
    <row r="2329" ht="40.200000000000003" customHeight="1" x14ac:dyDescent="0.25"/>
    <row r="2330" ht="40.200000000000003" customHeight="1" x14ac:dyDescent="0.25"/>
    <row r="2331" ht="40.200000000000003" customHeight="1" x14ac:dyDescent="0.25"/>
    <row r="2332" ht="40.200000000000003" customHeight="1" x14ac:dyDescent="0.25"/>
    <row r="2333" ht="40.200000000000003" customHeight="1" x14ac:dyDescent="0.25"/>
    <row r="2334" ht="40.200000000000003" customHeight="1" x14ac:dyDescent="0.25"/>
    <row r="2335" ht="40.200000000000003" customHeight="1" x14ac:dyDescent="0.25"/>
    <row r="2336" ht="40.200000000000003" customHeight="1" x14ac:dyDescent="0.25"/>
    <row r="2337" ht="40.200000000000003" customHeight="1" x14ac:dyDescent="0.25"/>
    <row r="2338" ht="40.200000000000003" customHeight="1" x14ac:dyDescent="0.25"/>
    <row r="2339" ht="40.200000000000003" customHeight="1" x14ac:dyDescent="0.25"/>
    <row r="2340" ht="40.200000000000003" customHeight="1" x14ac:dyDescent="0.25"/>
    <row r="2341" ht="40.200000000000003" customHeight="1" x14ac:dyDescent="0.25"/>
    <row r="2342" ht="40.200000000000003" customHeight="1" x14ac:dyDescent="0.25"/>
    <row r="2343" ht="40.200000000000003" customHeight="1" x14ac:dyDescent="0.25"/>
    <row r="2344" ht="40.200000000000003" customHeight="1" x14ac:dyDescent="0.25"/>
    <row r="2345" ht="40.200000000000003" customHeight="1" x14ac:dyDescent="0.25"/>
    <row r="2346" ht="40.200000000000003" customHeight="1" x14ac:dyDescent="0.25"/>
    <row r="2347" ht="40.200000000000003" customHeight="1" x14ac:dyDescent="0.25"/>
    <row r="2348" ht="40.200000000000003" customHeight="1" x14ac:dyDescent="0.25"/>
    <row r="2349" ht="40.200000000000003" customHeight="1" x14ac:dyDescent="0.25"/>
    <row r="2350" ht="40.200000000000003" customHeight="1" x14ac:dyDescent="0.25"/>
    <row r="2351" ht="40.200000000000003" customHeight="1" x14ac:dyDescent="0.25"/>
    <row r="2352" ht="40.200000000000003" customHeight="1" x14ac:dyDescent="0.25"/>
    <row r="2353" ht="40.200000000000003" customHeight="1" x14ac:dyDescent="0.25"/>
    <row r="2354" ht="40.200000000000003" customHeight="1" x14ac:dyDescent="0.25"/>
    <row r="2355" ht="40.200000000000003" customHeight="1" x14ac:dyDescent="0.25"/>
    <row r="2356" ht="40.200000000000003" customHeight="1" x14ac:dyDescent="0.25"/>
    <row r="2357" ht="40.200000000000003" customHeight="1" x14ac:dyDescent="0.25"/>
    <row r="2358" ht="40.200000000000003" customHeight="1" x14ac:dyDescent="0.25"/>
    <row r="2359" ht="40.200000000000003" customHeight="1" x14ac:dyDescent="0.25"/>
    <row r="2360" ht="40.200000000000003" customHeight="1" x14ac:dyDescent="0.25"/>
    <row r="2361" ht="40.200000000000003" customHeight="1" x14ac:dyDescent="0.25"/>
    <row r="2362" ht="40.200000000000003" customHeight="1" x14ac:dyDescent="0.25"/>
    <row r="2363" ht="40.200000000000003" customHeight="1" x14ac:dyDescent="0.25"/>
    <row r="2364" ht="40.200000000000003" customHeight="1" x14ac:dyDescent="0.25"/>
    <row r="2365" ht="40.200000000000003" customHeight="1" x14ac:dyDescent="0.25"/>
    <row r="2366" ht="40.200000000000003" customHeight="1" x14ac:dyDescent="0.25"/>
    <row r="2367" ht="40.200000000000003" customHeight="1" x14ac:dyDescent="0.25"/>
    <row r="2368" ht="40.200000000000003" customHeight="1" x14ac:dyDescent="0.25"/>
    <row r="2369" ht="40.200000000000003" customHeight="1" x14ac:dyDescent="0.25"/>
    <row r="2370" ht="40.200000000000003" customHeight="1" x14ac:dyDescent="0.25"/>
    <row r="2371" ht="40.200000000000003" customHeight="1" x14ac:dyDescent="0.25"/>
    <row r="2372" ht="40.200000000000003" customHeight="1" x14ac:dyDescent="0.25"/>
    <row r="2373" ht="40.200000000000003" customHeight="1" x14ac:dyDescent="0.25"/>
    <row r="2374" ht="40.200000000000003" customHeight="1" x14ac:dyDescent="0.25"/>
    <row r="2375" ht="40.200000000000003" customHeight="1" x14ac:dyDescent="0.25"/>
    <row r="2376" ht="40.200000000000003" customHeight="1" x14ac:dyDescent="0.25"/>
    <row r="2377" ht="40.200000000000003" customHeight="1" x14ac:dyDescent="0.25"/>
    <row r="2378" ht="40.200000000000003" customHeight="1" x14ac:dyDescent="0.25"/>
    <row r="2379" ht="40.200000000000003" customHeight="1" x14ac:dyDescent="0.25"/>
    <row r="2380" ht="40.200000000000003" customHeight="1" x14ac:dyDescent="0.25"/>
    <row r="2381" ht="40.200000000000003" customHeight="1" x14ac:dyDescent="0.25"/>
    <row r="2382" ht="40.200000000000003" customHeight="1" x14ac:dyDescent="0.25"/>
    <row r="2383" ht="40.200000000000003" customHeight="1" x14ac:dyDescent="0.25"/>
    <row r="2384" ht="40.200000000000003" customHeight="1" x14ac:dyDescent="0.25"/>
    <row r="2385" ht="40.200000000000003" customHeight="1" x14ac:dyDescent="0.25"/>
    <row r="2386" ht="40.200000000000003" customHeight="1" x14ac:dyDescent="0.25"/>
    <row r="2387" ht="40.200000000000003" customHeight="1" x14ac:dyDescent="0.25"/>
    <row r="2388" ht="40.200000000000003" customHeight="1" x14ac:dyDescent="0.25"/>
    <row r="2389" ht="40.200000000000003" customHeight="1" x14ac:dyDescent="0.25"/>
    <row r="2390" ht="40.200000000000003" customHeight="1" x14ac:dyDescent="0.25"/>
    <row r="2391" ht="40.200000000000003" customHeight="1" x14ac:dyDescent="0.25"/>
    <row r="2392" ht="40.200000000000003" customHeight="1" x14ac:dyDescent="0.25"/>
    <row r="2393" ht="40.200000000000003" customHeight="1" x14ac:dyDescent="0.25"/>
    <row r="2394" ht="40.200000000000003" customHeight="1" x14ac:dyDescent="0.25"/>
    <row r="2395" ht="40.200000000000003" customHeight="1" x14ac:dyDescent="0.25"/>
    <row r="2396" ht="40.200000000000003" customHeight="1" x14ac:dyDescent="0.25"/>
    <row r="2397" ht="40.200000000000003" customHeight="1" x14ac:dyDescent="0.25"/>
    <row r="2398" ht="40.200000000000003" customHeight="1" x14ac:dyDescent="0.25"/>
    <row r="2399" ht="40.200000000000003" customHeight="1" x14ac:dyDescent="0.25"/>
    <row r="2400" ht="40.200000000000003" customHeight="1" x14ac:dyDescent="0.25"/>
    <row r="2401" ht="40.200000000000003" customHeight="1" x14ac:dyDescent="0.25"/>
    <row r="2402" ht="40.200000000000003" customHeight="1" x14ac:dyDescent="0.25"/>
    <row r="2403" ht="40.200000000000003" customHeight="1" x14ac:dyDescent="0.25"/>
    <row r="2404" ht="40.200000000000003" customHeight="1" x14ac:dyDescent="0.25"/>
    <row r="2405" ht="40.200000000000003" customHeight="1" x14ac:dyDescent="0.25"/>
    <row r="2406" ht="40.200000000000003" customHeight="1" x14ac:dyDescent="0.25"/>
    <row r="2407" ht="40.200000000000003" customHeight="1" x14ac:dyDescent="0.25"/>
    <row r="2408" ht="40.200000000000003" customHeight="1" x14ac:dyDescent="0.25"/>
    <row r="2409" ht="40.200000000000003" customHeight="1" x14ac:dyDescent="0.25"/>
    <row r="2410" ht="40.200000000000003" customHeight="1" x14ac:dyDescent="0.25"/>
    <row r="2411" ht="40.200000000000003" customHeight="1" x14ac:dyDescent="0.25"/>
    <row r="2412" ht="40.200000000000003" customHeight="1" x14ac:dyDescent="0.25"/>
    <row r="2413" ht="40.200000000000003" customHeight="1" x14ac:dyDescent="0.25"/>
    <row r="2414" ht="40.200000000000003" customHeight="1" x14ac:dyDescent="0.25"/>
    <row r="2415" ht="40.200000000000003" customHeight="1" x14ac:dyDescent="0.25"/>
    <row r="2416" ht="40.200000000000003" customHeight="1" x14ac:dyDescent="0.25"/>
    <row r="2417" ht="40.200000000000003" customHeight="1" x14ac:dyDescent="0.25"/>
    <row r="2418" ht="40.200000000000003" customHeight="1" x14ac:dyDescent="0.25"/>
    <row r="2419" ht="40.200000000000003" customHeight="1" x14ac:dyDescent="0.25"/>
    <row r="2420" ht="40.200000000000003" customHeight="1" x14ac:dyDescent="0.25"/>
    <row r="2421" ht="40.200000000000003" customHeight="1" x14ac:dyDescent="0.25"/>
    <row r="2422" ht="40.200000000000003" customHeight="1" x14ac:dyDescent="0.25"/>
    <row r="2423" ht="40.200000000000003" customHeight="1" x14ac:dyDescent="0.25"/>
    <row r="2424" ht="40.200000000000003" customHeight="1" x14ac:dyDescent="0.25"/>
    <row r="2425" ht="40.200000000000003" customHeight="1" x14ac:dyDescent="0.25"/>
    <row r="2426" ht="40.200000000000003" customHeight="1" x14ac:dyDescent="0.25"/>
    <row r="2427" ht="40.200000000000003" customHeight="1" x14ac:dyDescent="0.25"/>
    <row r="2428" ht="40.200000000000003" customHeight="1" x14ac:dyDescent="0.25"/>
    <row r="2429" ht="40.200000000000003" customHeight="1" x14ac:dyDescent="0.25"/>
    <row r="2430" ht="40.200000000000003" customHeight="1" x14ac:dyDescent="0.25"/>
    <row r="2431" ht="40.200000000000003" customHeight="1" x14ac:dyDescent="0.25"/>
    <row r="2432" ht="40.200000000000003" customHeight="1" x14ac:dyDescent="0.25"/>
    <row r="2433" ht="40.200000000000003" customHeight="1" x14ac:dyDescent="0.25"/>
    <row r="2434" ht="40.200000000000003" customHeight="1" x14ac:dyDescent="0.25"/>
    <row r="2435" ht="40.200000000000003" customHeight="1" x14ac:dyDescent="0.25"/>
    <row r="2436" ht="40.200000000000003" customHeight="1" x14ac:dyDescent="0.25"/>
    <row r="2437" ht="40.200000000000003" customHeight="1" x14ac:dyDescent="0.25"/>
    <row r="2438" ht="40.200000000000003" customHeight="1" x14ac:dyDescent="0.25"/>
    <row r="2439" ht="40.200000000000003" customHeight="1" x14ac:dyDescent="0.25"/>
    <row r="2440" ht="40.200000000000003" customHeight="1" x14ac:dyDescent="0.25"/>
    <row r="2441" ht="40.200000000000003" customHeight="1" x14ac:dyDescent="0.25"/>
    <row r="2442" ht="40.200000000000003" customHeight="1" x14ac:dyDescent="0.25"/>
    <row r="2443" ht="40.200000000000003" customHeight="1" x14ac:dyDescent="0.25"/>
    <row r="2444" ht="40.200000000000003" customHeight="1" x14ac:dyDescent="0.25"/>
    <row r="2445" ht="40.200000000000003" customHeight="1" x14ac:dyDescent="0.25"/>
    <row r="2446" ht="40.200000000000003" customHeight="1" x14ac:dyDescent="0.25"/>
    <row r="2447" ht="40.200000000000003" customHeight="1" x14ac:dyDescent="0.25"/>
    <row r="2448" ht="40.200000000000003" customHeight="1" x14ac:dyDescent="0.25"/>
    <row r="2449" ht="40.200000000000003" customHeight="1" x14ac:dyDescent="0.25"/>
    <row r="2450" ht="40.200000000000003" customHeight="1" x14ac:dyDescent="0.25"/>
    <row r="2451" ht="40.200000000000003" customHeight="1" x14ac:dyDescent="0.25"/>
    <row r="2452" ht="40.200000000000003" customHeight="1" x14ac:dyDescent="0.25"/>
    <row r="2453" ht="40.200000000000003" customHeight="1" x14ac:dyDescent="0.25"/>
    <row r="2454" ht="40.200000000000003" customHeight="1" x14ac:dyDescent="0.25"/>
    <row r="2455" ht="40.200000000000003" customHeight="1" x14ac:dyDescent="0.25"/>
    <row r="2456" ht="40.200000000000003" customHeight="1" x14ac:dyDescent="0.25"/>
    <row r="2457" ht="40.200000000000003" customHeight="1" x14ac:dyDescent="0.25"/>
    <row r="2458" ht="40.200000000000003" customHeight="1" x14ac:dyDescent="0.25"/>
    <row r="2459" ht="40.200000000000003" customHeight="1" x14ac:dyDescent="0.25"/>
    <row r="2460" ht="40.200000000000003" customHeight="1" x14ac:dyDescent="0.25"/>
    <row r="2461" ht="40.200000000000003" customHeight="1" x14ac:dyDescent="0.25"/>
    <row r="2462" ht="40.200000000000003" customHeight="1" x14ac:dyDescent="0.25"/>
    <row r="2463" ht="40.200000000000003" customHeight="1" x14ac:dyDescent="0.25"/>
    <row r="2464" ht="40.200000000000003" customHeight="1" x14ac:dyDescent="0.25"/>
    <row r="2465" ht="40.200000000000003" customHeight="1" x14ac:dyDescent="0.25"/>
    <row r="2466" ht="40.200000000000003" customHeight="1" x14ac:dyDescent="0.25"/>
    <row r="2467" ht="40.200000000000003" customHeight="1" x14ac:dyDescent="0.25"/>
    <row r="2468" ht="40.200000000000003" customHeight="1" x14ac:dyDescent="0.25"/>
    <row r="2469" ht="40.200000000000003" customHeight="1" x14ac:dyDescent="0.25"/>
    <row r="2470" ht="40.200000000000003" customHeight="1" x14ac:dyDescent="0.25"/>
    <row r="2471" ht="40.200000000000003" customHeight="1" x14ac:dyDescent="0.25"/>
    <row r="2472" ht="40.200000000000003" customHeight="1" x14ac:dyDescent="0.25"/>
    <row r="2473" ht="40.200000000000003" customHeight="1" x14ac:dyDescent="0.25"/>
    <row r="2474" ht="40.200000000000003" customHeight="1" x14ac:dyDescent="0.25"/>
    <row r="2475" ht="40.200000000000003" customHeight="1" x14ac:dyDescent="0.25"/>
    <row r="2476" ht="40.200000000000003" customHeight="1" x14ac:dyDescent="0.25"/>
    <row r="2477" ht="40.200000000000003" customHeight="1" x14ac:dyDescent="0.25"/>
    <row r="2478" ht="40.200000000000003" customHeight="1" x14ac:dyDescent="0.25"/>
    <row r="2479" ht="40.200000000000003" customHeight="1" x14ac:dyDescent="0.25"/>
    <row r="2480" ht="40.200000000000003" customHeight="1" x14ac:dyDescent="0.25"/>
    <row r="2481" ht="40.200000000000003" customHeight="1" x14ac:dyDescent="0.25"/>
    <row r="2482" ht="40.200000000000003" customHeight="1" x14ac:dyDescent="0.25"/>
    <row r="2483" ht="40.200000000000003" customHeight="1" x14ac:dyDescent="0.25"/>
    <row r="2484" ht="40.200000000000003" customHeight="1" x14ac:dyDescent="0.25"/>
    <row r="2485" ht="40.200000000000003" customHeight="1" x14ac:dyDescent="0.25"/>
    <row r="2486" ht="40.200000000000003" customHeight="1" x14ac:dyDescent="0.25"/>
    <row r="2487" ht="40.200000000000003" customHeight="1" x14ac:dyDescent="0.25"/>
    <row r="2488" ht="40.200000000000003" customHeight="1" x14ac:dyDescent="0.25"/>
    <row r="2489" ht="40.200000000000003" customHeight="1" x14ac:dyDescent="0.25"/>
    <row r="2490" ht="40.200000000000003" customHeight="1" x14ac:dyDescent="0.25"/>
    <row r="2491" ht="40.200000000000003" customHeight="1" x14ac:dyDescent="0.25"/>
    <row r="2492" ht="40.200000000000003" customHeight="1" x14ac:dyDescent="0.25"/>
    <row r="2493" ht="40.200000000000003" customHeight="1" x14ac:dyDescent="0.25"/>
    <row r="2494" ht="40.200000000000003" customHeight="1" x14ac:dyDescent="0.25"/>
    <row r="2495" ht="40.200000000000003" customHeight="1" x14ac:dyDescent="0.25"/>
    <row r="2496" ht="40.200000000000003" customHeight="1" x14ac:dyDescent="0.25"/>
    <row r="2497" ht="40.200000000000003" customHeight="1" x14ac:dyDescent="0.25"/>
    <row r="2498" ht="40.200000000000003" customHeight="1" x14ac:dyDescent="0.25"/>
    <row r="2499" ht="40.200000000000003" customHeight="1" x14ac:dyDescent="0.25"/>
    <row r="2500" ht="40.200000000000003" customHeight="1" x14ac:dyDescent="0.25"/>
    <row r="2501" ht="40.200000000000003" customHeight="1" x14ac:dyDescent="0.25"/>
    <row r="2502" ht="40.200000000000003" customHeight="1" x14ac:dyDescent="0.25"/>
    <row r="2503" ht="40.200000000000003" customHeight="1" x14ac:dyDescent="0.25"/>
    <row r="2504" ht="40.200000000000003" customHeight="1" x14ac:dyDescent="0.25"/>
    <row r="2505" ht="40.200000000000003" customHeight="1" x14ac:dyDescent="0.25"/>
    <row r="2506" ht="40.200000000000003" customHeight="1" x14ac:dyDescent="0.25"/>
    <row r="2507" ht="40.200000000000003" customHeight="1" x14ac:dyDescent="0.25"/>
    <row r="2508" ht="40.200000000000003" customHeight="1" x14ac:dyDescent="0.25"/>
    <row r="2509" ht="40.200000000000003" customHeight="1" x14ac:dyDescent="0.25"/>
    <row r="2510" ht="40.200000000000003" customHeight="1" x14ac:dyDescent="0.25"/>
    <row r="2511" ht="40.200000000000003" customHeight="1" x14ac:dyDescent="0.25"/>
    <row r="2512" ht="40.200000000000003" customHeight="1" x14ac:dyDescent="0.25"/>
    <row r="2513" ht="40.200000000000003" customHeight="1" x14ac:dyDescent="0.25"/>
    <row r="2514" ht="40.200000000000003" customHeight="1" x14ac:dyDescent="0.25"/>
    <row r="2515" ht="40.200000000000003" customHeight="1" x14ac:dyDescent="0.25"/>
    <row r="2516" ht="40.200000000000003" customHeight="1" x14ac:dyDescent="0.25"/>
    <row r="2517" ht="40.200000000000003" customHeight="1" x14ac:dyDescent="0.25"/>
    <row r="2518" ht="40.200000000000003" customHeight="1" x14ac:dyDescent="0.25"/>
    <row r="2519" ht="40.200000000000003" customHeight="1" x14ac:dyDescent="0.25"/>
    <row r="2520" ht="40.200000000000003" customHeight="1" x14ac:dyDescent="0.25"/>
    <row r="2521" ht="40.200000000000003" customHeight="1" x14ac:dyDescent="0.25"/>
    <row r="2522" ht="40.200000000000003" customHeight="1" x14ac:dyDescent="0.25"/>
    <row r="2523" ht="40.200000000000003" customHeight="1" x14ac:dyDescent="0.25"/>
    <row r="2524" ht="40.200000000000003" customHeight="1" x14ac:dyDescent="0.25"/>
    <row r="2525" ht="40.200000000000003" customHeight="1" x14ac:dyDescent="0.25"/>
    <row r="2526" ht="40.200000000000003" customHeight="1" x14ac:dyDescent="0.25"/>
    <row r="2527" ht="40.200000000000003" customHeight="1" x14ac:dyDescent="0.25"/>
    <row r="2528" ht="40.200000000000003" customHeight="1" x14ac:dyDescent="0.25"/>
    <row r="2529" ht="40.200000000000003" customHeight="1" x14ac:dyDescent="0.25"/>
    <row r="2530" ht="40.200000000000003" customHeight="1" x14ac:dyDescent="0.25"/>
    <row r="2531" ht="40.200000000000003" customHeight="1" x14ac:dyDescent="0.25"/>
    <row r="2532" ht="40.200000000000003" customHeight="1" x14ac:dyDescent="0.25"/>
    <row r="2533" ht="40.200000000000003" customHeight="1" x14ac:dyDescent="0.25"/>
    <row r="2534" ht="40.200000000000003" customHeight="1" x14ac:dyDescent="0.25"/>
    <row r="2535" ht="40.200000000000003" customHeight="1" x14ac:dyDescent="0.25"/>
    <row r="2536" ht="40.200000000000003" customHeight="1" x14ac:dyDescent="0.25"/>
    <row r="2537" ht="40.200000000000003" customHeight="1" x14ac:dyDescent="0.25"/>
    <row r="2538" ht="40.200000000000003" customHeight="1" x14ac:dyDescent="0.25"/>
    <row r="2539" ht="40.200000000000003" customHeight="1" x14ac:dyDescent="0.25"/>
    <row r="2540" ht="40.200000000000003" customHeight="1" x14ac:dyDescent="0.25"/>
    <row r="2541" ht="40.200000000000003" customHeight="1" x14ac:dyDescent="0.25"/>
    <row r="2542" ht="40.200000000000003" customHeight="1" x14ac:dyDescent="0.25"/>
    <row r="2543" ht="40.200000000000003" customHeight="1" x14ac:dyDescent="0.25"/>
    <row r="2544" ht="40.200000000000003" customHeight="1" x14ac:dyDescent="0.25"/>
    <row r="2545" ht="40.200000000000003" customHeight="1" x14ac:dyDescent="0.25"/>
    <row r="2546" ht="40.200000000000003" customHeight="1" x14ac:dyDescent="0.25"/>
    <row r="2547" ht="40.200000000000003" customHeight="1" x14ac:dyDescent="0.25"/>
    <row r="2548" ht="40.200000000000003" customHeight="1" x14ac:dyDescent="0.25"/>
    <row r="2549" ht="40.200000000000003" customHeight="1" x14ac:dyDescent="0.25"/>
    <row r="2550" ht="40.200000000000003" customHeight="1" x14ac:dyDescent="0.25"/>
    <row r="2551" ht="40.200000000000003" customHeight="1" x14ac:dyDescent="0.25"/>
    <row r="2552" ht="40.200000000000003" customHeight="1" x14ac:dyDescent="0.25"/>
    <row r="2553" ht="40.200000000000003" customHeight="1" x14ac:dyDescent="0.25"/>
    <row r="2554" ht="40.200000000000003" customHeight="1" x14ac:dyDescent="0.25"/>
    <row r="2555" ht="40.200000000000003" customHeight="1" x14ac:dyDescent="0.25"/>
    <row r="2556" ht="40.200000000000003" customHeight="1" x14ac:dyDescent="0.25"/>
    <row r="2557" ht="40.200000000000003" customHeight="1" x14ac:dyDescent="0.25"/>
    <row r="2558" ht="40.200000000000003" customHeight="1" x14ac:dyDescent="0.25"/>
    <row r="2559" ht="40.200000000000003" customHeight="1" x14ac:dyDescent="0.25"/>
    <row r="2560" ht="40.200000000000003" customHeight="1" x14ac:dyDescent="0.25"/>
    <row r="2561" ht="40.200000000000003" customHeight="1" x14ac:dyDescent="0.25"/>
    <row r="2562" ht="40.200000000000003" customHeight="1" x14ac:dyDescent="0.25"/>
    <row r="2563" ht="40.200000000000003" customHeight="1" x14ac:dyDescent="0.25"/>
    <row r="2564" ht="40.200000000000003" customHeight="1" x14ac:dyDescent="0.25"/>
    <row r="2565" ht="40.200000000000003" customHeight="1" x14ac:dyDescent="0.25"/>
    <row r="2566" ht="40.200000000000003" customHeight="1" x14ac:dyDescent="0.25"/>
    <row r="2567" ht="40.200000000000003" customHeight="1" x14ac:dyDescent="0.25"/>
    <row r="2568" ht="40.200000000000003" customHeight="1" x14ac:dyDescent="0.25"/>
    <row r="2569" ht="40.200000000000003" customHeight="1" x14ac:dyDescent="0.25"/>
    <row r="2570" ht="40.200000000000003" customHeight="1" x14ac:dyDescent="0.25"/>
    <row r="2571" ht="40.200000000000003" customHeight="1" x14ac:dyDescent="0.25"/>
    <row r="2572" ht="40.200000000000003" customHeight="1" x14ac:dyDescent="0.25"/>
    <row r="2573" ht="40.200000000000003" customHeight="1" x14ac:dyDescent="0.25"/>
    <row r="2574" ht="40.200000000000003" customHeight="1" x14ac:dyDescent="0.25"/>
    <row r="2575" ht="40.200000000000003" customHeight="1" x14ac:dyDescent="0.25"/>
    <row r="2576" ht="40.200000000000003" customHeight="1" x14ac:dyDescent="0.25"/>
    <row r="2577" ht="40.200000000000003" customHeight="1" x14ac:dyDescent="0.25"/>
    <row r="2578" ht="40.200000000000003" customHeight="1" x14ac:dyDescent="0.25"/>
    <row r="2579" ht="40.200000000000003" customHeight="1" x14ac:dyDescent="0.25"/>
    <row r="2580" ht="40.200000000000003" customHeight="1" x14ac:dyDescent="0.25"/>
    <row r="2581" ht="40.200000000000003" customHeight="1" x14ac:dyDescent="0.25"/>
    <row r="2582" ht="40.200000000000003" customHeight="1" x14ac:dyDescent="0.25"/>
    <row r="2583" ht="40.200000000000003" customHeight="1" x14ac:dyDescent="0.25"/>
    <row r="2584" ht="40.200000000000003" customHeight="1" x14ac:dyDescent="0.25"/>
    <row r="2585" ht="40.200000000000003" customHeight="1" x14ac:dyDescent="0.25"/>
    <row r="2586" ht="40.200000000000003" customHeight="1" x14ac:dyDescent="0.25"/>
    <row r="2587" ht="40.200000000000003" customHeight="1" x14ac:dyDescent="0.25"/>
    <row r="2588" ht="40.200000000000003" customHeight="1" x14ac:dyDescent="0.25"/>
    <row r="2589" ht="40.200000000000003" customHeight="1" x14ac:dyDescent="0.25"/>
    <row r="2590" ht="40.200000000000003" customHeight="1" x14ac:dyDescent="0.25"/>
    <row r="2591" ht="40.200000000000003" customHeight="1" x14ac:dyDescent="0.25"/>
    <row r="2592" ht="40.200000000000003" customHeight="1" x14ac:dyDescent="0.25"/>
    <row r="2593" ht="40.200000000000003" customHeight="1" x14ac:dyDescent="0.25"/>
    <row r="2594" ht="40.200000000000003" customHeight="1" x14ac:dyDescent="0.25"/>
    <row r="2595" ht="40.200000000000003" customHeight="1" x14ac:dyDescent="0.25"/>
    <row r="2596" ht="40.200000000000003" customHeight="1" x14ac:dyDescent="0.25"/>
    <row r="2597" ht="40.200000000000003" customHeight="1" x14ac:dyDescent="0.25"/>
    <row r="2598" ht="40.200000000000003" customHeight="1" x14ac:dyDescent="0.25"/>
    <row r="2599" ht="40.200000000000003" customHeight="1" x14ac:dyDescent="0.25"/>
    <row r="2600" ht="40.200000000000003" customHeight="1" x14ac:dyDescent="0.25"/>
    <row r="2601" ht="40.200000000000003" customHeight="1" x14ac:dyDescent="0.25"/>
    <row r="2602" ht="40.200000000000003" customHeight="1" x14ac:dyDescent="0.25"/>
    <row r="2603" ht="40.200000000000003" customHeight="1" x14ac:dyDescent="0.25"/>
    <row r="2604" ht="40.200000000000003" customHeight="1" x14ac:dyDescent="0.25"/>
    <row r="2605" ht="40.200000000000003" customHeight="1" x14ac:dyDescent="0.25"/>
    <row r="2606" ht="40.200000000000003" customHeight="1" x14ac:dyDescent="0.25"/>
    <row r="2607" ht="40.200000000000003" customHeight="1" x14ac:dyDescent="0.25"/>
    <row r="2608" ht="40.200000000000003" customHeight="1" x14ac:dyDescent="0.25"/>
    <row r="2609" ht="40.200000000000003" customHeight="1" x14ac:dyDescent="0.25"/>
    <row r="2610" ht="40.200000000000003" customHeight="1" x14ac:dyDescent="0.25"/>
    <row r="2611" ht="40.200000000000003" customHeight="1" x14ac:dyDescent="0.25"/>
    <row r="2612" ht="40.200000000000003" customHeight="1" x14ac:dyDescent="0.25"/>
    <row r="2613" ht="40.200000000000003" customHeight="1" x14ac:dyDescent="0.25"/>
    <row r="2614" ht="40.200000000000003" customHeight="1" x14ac:dyDescent="0.25"/>
    <row r="2615" ht="40.200000000000003" customHeight="1" x14ac:dyDescent="0.25"/>
    <row r="2616" ht="40.200000000000003" customHeight="1" x14ac:dyDescent="0.25"/>
    <row r="2617" ht="40.200000000000003" customHeight="1" x14ac:dyDescent="0.25"/>
    <row r="2618" ht="40.200000000000003" customHeight="1" x14ac:dyDescent="0.25"/>
    <row r="2619" ht="40.200000000000003" customHeight="1" x14ac:dyDescent="0.25"/>
    <row r="2620" ht="40.200000000000003" customHeight="1" x14ac:dyDescent="0.25"/>
    <row r="2621" ht="40.200000000000003" customHeight="1" x14ac:dyDescent="0.25"/>
    <row r="2622" ht="40.200000000000003" customHeight="1" x14ac:dyDescent="0.25"/>
    <row r="2623" ht="40.200000000000003" customHeight="1" x14ac:dyDescent="0.25"/>
    <row r="2624" ht="40.200000000000003" customHeight="1" x14ac:dyDescent="0.25"/>
    <row r="2625" ht="40.200000000000003" customHeight="1" x14ac:dyDescent="0.25"/>
    <row r="2626" ht="40.200000000000003" customHeight="1" x14ac:dyDescent="0.25"/>
    <row r="2627" ht="40.200000000000003" customHeight="1" x14ac:dyDescent="0.25"/>
    <row r="2628" ht="40.200000000000003" customHeight="1" x14ac:dyDescent="0.25"/>
    <row r="2629" ht="40.200000000000003" customHeight="1" x14ac:dyDescent="0.25"/>
    <row r="2630" ht="40.200000000000003" customHeight="1" x14ac:dyDescent="0.25"/>
    <row r="2631" ht="40.200000000000003" customHeight="1" x14ac:dyDescent="0.25"/>
    <row r="2632" ht="40.200000000000003" customHeight="1" x14ac:dyDescent="0.25"/>
    <row r="2633" ht="40.200000000000003" customHeight="1" x14ac:dyDescent="0.25"/>
    <row r="2634" ht="40.200000000000003" customHeight="1" x14ac:dyDescent="0.25"/>
    <row r="2635" ht="40.200000000000003" customHeight="1" x14ac:dyDescent="0.25"/>
    <row r="2636" ht="40.200000000000003" customHeight="1" x14ac:dyDescent="0.25"/>
    <row r="2637" ht="40.200000000000003" customHeight="1" x14ac:dyDescent="0.25"/>
    <row r="2638" ht="40.200000000000003" customHeight="1" x14ac:dyDescent="0.25"/>
    <row r="2639" ht="40.200000000000003" customHeight="1" x14ac:dyDescent="0.25"/>
    <row r="2640" ht="40.200000000000003" customHeight="1" x14ac:dyDescent="0.25"/>
    <row r="2641" ht="40.200000000000003" customHeight="1" x14ac:dyDescent="0.25"/>
    <row r="2642" ht="40.200000000000003" customHeight="1" x14ac:dyDescent="0.25"/>
    <row r="2643" ht="40.200000000000003" customHeight="1" x14ac:dyDescent="0.25"/>
    <row r="2644" ht="40.200000000000003" customHeight="1" x14ac:dyDescent="0.25"/>
    <row r="2645" ht="40.200000000000003" customHeight="1" x14ac:dyDescent="0.25"/>
    <row r="2646" ht="40.200000000000003" customHeight="1" x14ac:dyDescent="0.25"/>
    <row r="2647" ht="40.200000000000003" customHeight="1" x14ac:dyDescent="0.25"/>
    <row r="2648" ht="40.200000000000003" customHeight="1" x14ac:dyDescent="0.25"/>
    <row r="2649" ht="40.200000000000003" customHeight="1" x14ac:dyDescent="0.25"/>
    <row r="2650" ht="40.200000000000003" customHeight="1" x14ac:dyDescent="0.25"/>
    <row r="2651" ht="40.200000000000003" customHeight="1" x14ac:dyDescent="0.25"/>
    <row r="2652" ht="40.200000000000003" customHeight="1" x14ac:dyDescent="0.25"/>
    <row r="2653" ht="40.200000000000003" customHeight="1" x14ac:dyDescent="0.25"/>
    <row r="2654" ht="40.200000000000003" customHeight="1" x14ac:dyDescent="0.25"/>
    <row r="2655" ht="40.200000000000003" customHeight="1" x14ac:dyDescent="0.25"/>
    <row r="2656" ht="40.200000000000003" customHeight="1" x14ac:dyDescent="0.25"/>
    <row r="2657" ht="40.200000000000003" customHeight="1" x14ac:dyDescent="0.25"/>
    <row r="2658" ht="40.200000000000003" customHeight="1" x14ac:dyDescent="0.25"/>
    <row r="2659" ht="40.200000000000003" customHeight="1" x14ac:dyDescent="0.25"/>
    <row r="2660" ht="40.200000000000003" customHeight="1" x14ac:dyDescent="0.25"/>
    <row r="2661" ht="40.200000000000003" customHeight="1" x14ac:dyDescent="0.25"/>
    <row r="2662" ht="40.200000000000003" customHeight="1" x14ac:dyDescent="0.25"/>
    <row r="2663" ht="40.200000000000003" customHeight="1" x14ac:dyDescent="0.25"/>
    <row r="2664" ht="40.200000000000003" customHeight="1" x14ac:dyDescent="0.25"/>
    <row r="2665" ht="40.200000000000003" customHeight="1" x14ac:dyDescent="0.25"/>
    <row r="2666" ht="40.200000000000003" customHeight="1" x14ac:dyDescent="0.25"/>
    <row r="2667" ht="40.200000000000003" customHeight="1" x14ac:dyDescent="0.25"/>
    <row r="2668" ht="40.200000000000003" customHeight="1" x14ac:dyDescent="0.25"/>
    <row r="2669" ht="40.200000000000003" customHeight="1" x14ac:dyDescent="0.25"/>
    <row r="2670" ht="40.200000000000003" customHeight="1" x14ac:dyDescent="0.25"/>
    <row r="2671" ht="40.200000000000003" customHeight="1" x14ac:dyDescent="0.25"/>
    <row r="2672" ht="40.200000000000003" customHeight="1" x14ac:dyDescent="0.25"/>
    <row r="2673" ht="40.200000000000003" customHeight="1" x14ac:dyDescent="0.25"/>
    <row r="2674" ht="40.200000000000003" customHeight="1" x14ac:dyDescent="0.25"/>
    <row r="2675" ht="40.200000000000003" customHeight="1" x14ac:dyDescent="0.25"/>
    <row r="2676" ht="40.200000000000003" customHeight="1" x14ac:dyDescent="0.25"/>
    <row r="2677" ht="40.200000000000003" customHeight="1" x14ac:dyDescent="0.25"/>
    <row r="2678" ht="40.200000000000003" customHeight="1" x14ac:dyDescent="0.25"/>
    <row r="2679" ht="40.200000000000003" customHeight="1" x14ac:dyDescent="0.25"/>
    <row r="2680" ht="40.200000000000003" customHeight="1" x14ac:dyDescent="0.25"/>
    <row r="2681" ht="40.200000000000003" customHeight="1" x14ac:dyDescent="0.25"/>
    <row r="2682" ht="40.200000000000003" customHeight="1" x14ac:dyDescent="0.25"/>
    <row r="2683" ht="40.200000000000003" customHeight="1" x14ac:dyDescent="0.25"/>
    <row r="2684" ht="40.200000000000003" customHeight="1" x14ac:dyDescent="0.25"/>
    <row r="2685" ht="40.200000000000003" customHeight="1" x14ac:dyDescent="0.25"/>
    <row r="2686" ht="40.200000000000003" customHeight="1" x14ac:dyDescent="0.25"/>
    <row r="2687" ht="40.200000000000003" customHeight="1" x14ac:dyDescent="0.25"/>
    <row r="2688" ht="40.200000000000003" customHeight="1" x14ac:dyDescent="0.25"/>
    <row r="2689" ht="40.200000000000003" customHeight="1" x14ac:dyDescent="0.25"/>
    <row r="2690" ht="40.200000000000003" customHeight="1" x14ac:dyDescent="0.25"/>
    <row r="2691" ht="40.200000000000003" customHeight="1" x14ac:dyDescent="0.25"/>
    <row r="2692" ht="40.200000000000003" customHeight="1" x14ac:dyDescent="0.25"/>
    <row r="2693" ht="40.200000000000003" customHeight="1" x14ac:dyDescent="0.25"/>
    <row r="2694" ht="40.200000000000003" customHeight="1" x14ac:dyDescent="0.25"/>
    <row r="2695" ht="40.200000000000003" customHeight="1" x14ac:dyDescent="0.25"/>
    <row r="2696" ht="40.200000000000003" customHeight="1" x14ac:dyDescent="0.25"/>
    <row r="2697" ht="40.200000000000003" customHeight="1" x14ac:dyDescent="0.25"/>
    <row r="2698" ht="40.200000000000003" customHeight="1" x14ac:dyDescent="0.25"/>
    <row r="2699" ht="40.200000000000003" customHeight="1" x14ac:dyDescent="0.25"/>
    <row r="2700" ht="40.200000000000003" customHeight="1" x14ac:dyDescent="0.25"/>
    <row r="2701" ht="40.200000000000003" customHeight="1" x14ac:dyDescent="0.25"/>
    <row r="2702" ht="40.200000000000003" customHeight="1" x14ac:dyDescent="0.25"/>
    <row r="2703" ht="40.200000000000003" customHeight="1" x14ac:dyDescent="0.25"/>
    <row r="2704" ht="40.200000000000003" customHeight="1" x14ac:dyDescent="0.25"/>
    <row r="2705" ht="40.200000000000003" customHeight="1" x14ac:dyDescent="0.25"/>
    <row r="2706" ht="40.200000000000003" customHeight="1" x14ac:dyDescent="0.25"/>
    <row r="2707" ht="40.200000000000003" customHeight="1" x14ac:dyDescent="0.25"/>
    <row r="2708" ht="40.200000000000003" customHeight="1" x14ac:dyDescent="0.25"/>
    <row r="2709" ht="40.200000000000003" customHeight="1" x14ac:dyDescent="0.25"/>
    <row r="2710" ht="40.200000000000003" customHeight="1" x14ac:dyDescent="0.25"/>
    <row r="2711" ht="40.200000000000003" customHeight="1" x14ac:dyDescent="0.25"/>
    <row r="2712" ht="40.200000000000003" customHeight="1" x14ac:dyDescent="0.25"/>
    <row r="2713" ht="40.200000000000003" customHeight="1" x14ac:dyDescent="0.25"/>
    <row r="2714" ht="40.200000000000003" customHeight="1" x14ac:dyDescent="0.25"/>
    <row r="2715" ht="40.200000000000003" customHeight="1" x14ac:dyDescent="0.25"/>
    <row r="2716" ht="40.200000000000003" customHeight="1" x14ac:dyDescent="0.25"/>
    <row r="2717" ht="40.200000000000003" customHeight="1" x14ac:dyDescent="0.25"/>
    <row r="2718" ht="40.200000000000003" customHeight="1" x14ac:dyDescent="0.25"/>
    <row r="2719" ht="40.200000000000003" customHeight="1" x14ac:dyDescent="0.25"/>
    <row r="2720" ht="40.200000000000003" customHeight="1" x14ac:dyDescent="0.25"/>
    <row r="2721" ht="40.200000000000003" customHeight="1" x14ac:dyDescent="0.25"/>
    <row r="2722" ht="40.200000000000003" customHeight="1" x14ac:dyDescent="0.25"/>
    <row r="2723" ht="40.200000000000003" customHeight="1" x14ac:dyDescent="0.25"/>
    <row r="2724" ht="40.200000000000003" customHeight="1" x14ac:dyDescent="0.25"/>
    <row r="2725" ht="40.200000000000003" customHeight="1" x14ac:dyDescent="0.25"/>
    <row r="2726" ht="40.200000000000003" customHeight="1" x14ac:dyDescent="0.25"/>
    <row r="2727" ht="40.200000000000003" customHeight="1" x14ac:dyDescent="0.25"/>
    <row r="2728" ht="40.200000000000003" customHeight="1" x14ac:dyDescent="0.25"/>
    <row r="2729" ht="40.200000000000003" customHeight="1" x14ac:dyDescent="0.25"/>
    <row r="2730" ht="40.200000000000003" customHeight="1" x14ac:dyDescent="0.25"/>
    <row r="2731" ht="40.200000000000003" customHeight="1" x14ac:dyDescent="0.25"/>
    <row r="2732" ht="40.200000000000003" customHeight="1" x14ac:dyDescent="0.25"/>
    <row r="2733" ht="40.200000000000003" customHeight="1" x14ac:dyDescent="0.25"/>
    <row r="2734" ht="40.200000000000003" customHeight="1" x14ac:dyDescent="0.25"/>
    <row r="2735" ht="40.200000000000003" customHeight="1" x14ac:dyDescent="0.25"/>
    <row r="2736" ht="40.200000000000003" customHeight="1" x14ac:dyDescent="0.25"/>
    <row r="2737" ht="40.200000000000003" customHeight="1" x14ac:dyDescent="0.25"/>
    <row r="2738" ht="40.200000000000003" customHeight="1" x14ac:dyDescent="0.25"/>
    <row r="2739" ht="40.200000000000003" customHeight="1" x14ac:dyDescent="0.25"/>
    <row r="2740" ht="40.200000000000003" customHeight="1" x14ac:dyDescent="0.25"/>
    <row r="2741" ht="40.200000000000003" customHeight="1" x14ac:dyDescent="0.25"/>
    <row r="2742" ht="40.200000000000003" customHeight="1" x14ac:dyDescent="0.25"/>
    <row r="2743" ht="40.200000000000003" customHeight="1" x14ac:dyDescent="0.25"/>
    <row r="2744" ht="40.200000000000003" customHeight="1" x14ac:dyDescent="0.25"/>
    <row r="2745" ht="40.200000000000003" customHeight="1" x14ac:dyDescent="0.25"/>
    <row r="2746" ht="40.200000000000003" customHeight="1" x14ac:dyDescent="0.25"/>
    <row r="2747" ht="40.200000000000003" customHeight="1" x14ac:dyDescent="0.25"/>
    <row r="2748" ht="40.200000000000003" customHeight="1" x14ac:dyDescent="0.25"/>
    <row r="2749" ht="40.200000000000003" customHeight="1" x14ac:dyDescent="0.25"/>
    <row r="2750" ht="40.200000000000003" customHeight="1" x14ac:dyDescent="0.25"/>
    <row r="2751" ht="40.200000000000003" customHeight="1" x14ac:dyDescent="0.25"/>
    <row r="2752" ht="40.200000000000003" customHeight="1" x14ac:dyDescent="0.25"/>
    <row r="2753" ht="40.200000000000003" customHeight="1" x14ac:dyDescent="0.25"/>
    <row r="2754" ht="40.200000000000003" customHeight="1" x14ac:dyDescent="0.25"/>
    <row r="2755" ht="40.200000000000003" customHeight="1" x14ac:dyDescent="0.25"/>
    <row r="2756" ht="40.200000000000003" customHeight="1" x14ac:dyDescent="0.25"/>
    <row r="2757" ht="40.200000000000003" customHeight="1" x14ac:dyDescent="0.25"/>
    <row r="2758" ht="40.200000000000003" customHeight="1" x14ac:dyDescent="0.25"/>
    <row r="2759" ht="40.200000000000003" customHeight="1" x14ac:dyDescent="0.25"/>
    <row r="2760" ht="40.200000000000003" customHeight="1" x14ac:dyDescent="0.25"/>
    <row r="2761" ht="40.200000000000003" customHeight="1" x14ac:dyDescent="0.25"/>
    <row r="2762" ht="40.200000000000003" customHeight="1" x14ac:dyDescent="0.25"/>
    <row r="2763" ht="40.200000000000003" customHeight="1" x14ac:dyDescent="0.25"/>
    <row r="2764" ht="40.200000000000003" customHeight="1" x14ac:dyDescent="0.25"/>
    <row r="2765" ht="40.200000000000003" customHeight="1" x14ac:dyDescent="0.25"/>
    <row r="2766" ht="40.200000000000003" customHeight="1" x14ac:dyDescent="0.25"/>
    <row r="2767" ht="40.200000000000003" customHeight="1" x14ac:dyDescent="0.25"/>
    <row r="2768" ht="40.200000000000003" customHeight="1" x14ac:dyDescent="0.25"/>
    <row r="2769" ht="40.200000000000003" customHeight="1" x14ac:dyDescent="0.25"/>
    <row r="2770" ht="40.200000000000003" customHeight="1" x14ac:dyDescent="0.25"/>
    <row r="2771" ht="40.200000000000003" customHeight="1" x14ac:dyDescent="0.25"/>
    <row r="2772" ht="40.200000000000003" customHeight="1" x14ac:dyDescent="0.25"/>
    <row r="2773" ht="40.200000000000003" customHeight="1" x14ac:dyDescent="0.25"/>
    <row r="2774" ht="40.200000000000003" customHeight="1" x14ac:dyDescent="0.25"/>
    <row r="2775" ht="40.200000000000003" customHeight="1" x14ac:dyDescent="0.25"/>
    <row r="2776" ht="40.200000000000003" customHeight="1" x14ac:dyDescent="0.25"/>
    <row r="2777" ht="40.200000000000003" customHeight="1" x14ac:dyDescent="0.25"/>
    <row r="2778" ht="40.200000000000003" customHeight="1" x14ac:dyDescent="0.25"/>
    <row r="2779" ht="40.200000000000003" customHeight="1" x14ac:dyDescent="0.25"/>
    <row r="2780" ht="40.200000000000003" customHeight="1" x14ac:dyDescent="0.25"/>
    <row r="2781" ht="40.200000000000003" customHeight="1" x14ac:dyDescent="0.25"/>
    <row r="2782" ht="40.200000000000003" customHeight="1" x14ac:dyDescent="0.25"/>
    <row r="2783" ht="40.200000000000003" customHeight="1" x14ac:dyDescent="0.25"/>
    <row r="2784" ht="40.200000000000003" customHeight="1" x14ac:dyDescent="0.25"/>
    <row r="2785" ht="40.200000000000003" customHeight="1" x14ac:dyDescent="0.25"/>
    <row r="2786" ht="40.200000000000003" customHeight="1" x14ac:dyDescent="0.25"/>
    <row r="2787" ht="40.200000000000003" customHeight="1" x14ac:dyDescent="0.25"/>
    <row r="2788" ht="40.200000000000003" customHeight="1" x14ac:dyDescent="0.25"/>
    <row r="2789" ht="40.200000000000003" customHeight="1" x14ac:dyDescent="0.25"/>
    <row r="2790" ht="40.200000000000003" customHeight="1" x14ac:dyDescent="0.25"/>
    <row r="2791" ht="40.200000000000003" customHeight="1" x14ac:dyDescent="0.25"/>
    <row r="2792" ht="40.200000000000003" customHeight="1" x14ac:dyDescent="0.25"/>
    <row r="2793" ht="40.200000000000003" customHeight="1" x14ac:dyDescent="0.25"/>
    <row r="2794" ht="40.200000000000003" customHeight="1" x14ac:dyDescent="0.25"/>
    <row r="2795" ht="40.200000000000003" customHeight="1" x14ac:dyDescent="0.25"/>
    <row r="2796" ht="40.200000000000003" customHeight="1" x14ac:dyDescent="0.25"/>
    <row r="2797" ht="40.200000000000003" customHeight="1" x14ac:dyDescent="0.25"/>
    <row r="2798" ht="40.200000000000003" customHeight="1" x14ac:dyDescent="0.25"/>
    <row r="2799" ht="40.200000000000003" customHeight="1" x14ac:dyDescent="0.25"/>
    <row r="2800" ht="40.200000000000003" customHeight="1" x14ac:dyDescent="0.25"/>
    <row r="2801" ht="40.200000000000003" customHeight="1" x14ac:dyDescent="0.25"/>
    <row r="2802" ht="40.200000000000003" customHeight="1" x14ac:dyDescent="0.25"/>
    <row r="2803" ht="40.200000000000003" customHeight="1" x14ac:dyDescent="0.25"/>
    <row r="2804" ht="40.200000000000003" customHeight="1" x14ac:dyDescent="0.25"/>
    <row r="2805" ht="40.200000000000003" customHeight="1" x14ac:dyDescent="0.25"/>
    <row r="2806" ht="40.200000000000003" customHeight="1" x14ac:dyDescent="0.25"/>
    <row r="2807" ht="40.200000000000003" customHeight="1" x14ac:dyDescent="0.25"/>
    <row r="2808" ht="40.200000000000003" customHeight="1" x14ac:dyDescent="0.25"/>
    <row r="2809" ht="40.200000000000003" customHeight="1" x14ac:dyDescent="0.25"/>
    <row r="2810" ht="40.200000000000003" customHeight="1" x14ac:dyDescent="0.25"/>
    <row r="2811" ht="40.200000000000003" customHeight="1" x14ac:dyDescent="0.25"/>
    <row r="2812" ht="40.200000000000003" customHeight="1" x14ac:dyDescent="0.25"/>
    <row r="2813" ht="40.200000000000003" customHeight="1" x14ac:dyDescent="0.25"/>
    <row r="2814" ht="40.200000000000003" customHeight="1" x14ac:dyDescent="0.25"/>
    <row r="2815" ht="40.200000000000003" customHeight="1" x14ac:dyDescent="0.25"/>
    <row r="2816" ht="40.200000000000003" customHeight="1" x14ac:dyDescent="0.25"/>
    <row r="2817" ht="40.200000000000003" customHeight="1" x14ac:dyDescent="0.25"/>
    <row r="2818" ht="40.200000000000003" customHeight="1" x14ac:dyDescent="0.25"/>
    <row r="2819" ht="40.200000000000003" customHeight="1" x14ac:dyDescent="0.25"/>
    <row r="2820" ht="40.200000000000003" customHeight="1" x14ac:dyDescent="0.25"/>
    <row r="2821" ht="40.200000000000003" customHeight="1" x14ac:dyDescent="0.25"/>
    <row r="2822" ht="40.200000000000003" customHeight="1" x14ac:dyDescent="0.25"/>
    <row r="2823" ht="40.200000000000003" customHeight="1" x14ac:dyDescent="0.25"/>
    <row r="2824" ht="40.200000000000003" customHeight="1" x14ac:dyDescent="0.25"/>
    <row r="2825" ht="40.200000000000003" customHeight="1" x14ac:dyDescent="0.25"/>
    <row r="2826" ht="40.200000000000003" customHeight="1" x14ac:dyDescent="0.25"/>
    <row r="2827" ht="40.200000000000003" customHeight="1" x14ac:dyDescent="0.25"/>
    <row r="2828" ht="40.200000000000003" customHeight="1" x14ac:dyDescent="0.25"/>
    <row r="2829" ht="40.200000000000003" customHeight="1" x14ac:dyDescent="0.25"/>
    <row r="2830" ht="40.200000000000003" customHeight="1" x14ac:dyDescent="0.25"/>
    <row r="2831" ht="40.200000000000003" customHeight="1" x14ac:dyDescent="0.25"/>
    <row r="2832" ht="40.200000000000003" customHeight="1" x14ac:dyDescent="0.25"/>
    <row r="2833" ht="40.200000000000003" customHeight="1" x14ac:dyDescent="0.25"/>
    <row r="2834" ht="40.200000000000003" customHeight="1" x14ac:dyDescent="0.25"/>
    <row r="2835" ht="40.200000000000003" customHeight="1" x14ac:dyDescent="0.25"/>
    <row r="2836" ht="40.200000000000003" customHeight="1" x14ac:dyDescent="0.25"/>
    <row r="2837" ht="40.200000000000003" customHeight="1" x14ac:dyDescent="0.25"/>
    <row r="2838" ht="40.200000000000003" customHeight="1" x14ac:dyDescent="0.25"/>
    <row r="2839" ht="40.200000000000003" customHeight="1" x14ac:dyDescent="0.25"/>
    <row r="2840" ht="40.200000000000003" customHeight="1" x14ac:dyDescent="0.25"/>
    <row r="2841" ht="40.200000000000003" customHeight="1" x14ac:dyDescent="0.25"/>
    <row r="2842" ht="40.200000000000003" customHeight="1" x14ac:dyDescent="0.25"/>
    <row r="2843" ht="40.200000000000003" customHeight="1" x14ac:dyDescent="0.25"/>
    <row r="2844" ht="40.200000000000003" customHeight="1" x14ac:dyDescent="0.25"/>
    <row r="2845" ht="40.200000000000003" customHeight="1" x14ac:dyDescent="0.25"/>
    <row r="2846" ht="40.200000000000003" customHeight="1" x14ac:dyDescent="0.25"/>
    <row r="2847" ht="40.200000000000003" customHeight="1" x14ac:dyDescent="0.25"/>
    <row r="2848" ht="40.200000000000003" customHeight="1" x14ac:dyDescent="0.25"/>
    <row r="2849" ht="40.200000000000003" customHeight="1" x14ac:dyDescent="0.25"/>
    <row r="2850" ht="40.200000000000003" customHeight="1" x14ac:dyDescent="0.25"/>
    <row r="2851" ht="40.200000000000003" customHeight="1" x14ac:dyDescent="0.25"/>
    <row r="2852" ht="40.200000000000003" customHeight="1" x14ac:dyDescent="0.25"/>
    <row r="2853" ht="40.200000000000003" customHeight="1" x14ac:dyDescent="0.25"/>
    <row r="2854" ht="40.200000000000003" customHeight="1" x14ac:dyDescent="0.25"/>
    <row r="2855" ht="40.200000000000003" customHeight="1" x14ac:dyDescent="0.25"/>
    <row r="2856" ht="40.200000000000003" customHeight="1" x14ac:dyDescent="0.25"/>
    <row r="2857" ht="40.200000000000003" customHeight="1" x14ac:dyDescent="0.25"/>
    <row r="2858" ht="40.200000000000003" customHeight="1" x14ac:dyDescent="0.25"/>
    <row r="2859" ht="40.200000000000003" customHeight="1" x14ac:dyDescent="0.25"/>
    <row r="2860" ht="40.200000000000003" customHeight="1" x14ac:dyDescent="0.25"/>
    <row r="2861" ht="40.200000000000003" customHeight="1" x14ac:dyDescent="0.25"/>
    <row r="2862" ht="40.200000000000003" customHeight="1" x14ac:dyDescent="0.25"/>
    <row r="2863" ht="40.200000000000003" customHeight="1" x14ac:dyDescent="0.25"/>
    <row r="2864" ht="40.200000000000003" customHeight="1" x14ac:dyDescent="0.25"/>
    <row r="2865" ht="40.200000000000003" customHeight="1" x14ac:dyDescent="0.25"/>
    <row r="2866" ht="40.200000000000003" customHeight="1" x14ac:dyDescent="0.25"/>
    <row r="2867" ht="40.200000000000003" customHeight="1" x14ac:dyDescent="0.25"/>
    <row r="2868" ht="40.200000000000003" customHeight="1" x14ac:dyDescent="0.25"/>
    <row r="2869" ht="40.200000000000003" customHeight="1" x14ac:dyDescent="0.25"/>
    <row r="2870" ht="40.200000000000003" customHeight="1" x14ac:dyDescent="0.25"/>
    <row r="2871" ht="40.200000000000003" customHeight="1" x14ac:dyDescent="0.25"/>
    <row r="2872" ht="40.200000000000003" customHeight="1" x14ac:dyDescent="0.25"/>
    <row r="2873" ht="40.200000000000003" customHeight="1" x14ac:dyDescent="0.25"/>
    <row r="2874" ht="40.200000000000003" customHeight="1" x14ac:dyDescent="0.25"/>
    <row r="2875" ht="40.200000000000003" customHeight="1" x14ac:dyDescent="0.25"/>
    <row r="2876" ht="40.200000000000003" customHeight="1" x14ac:dyDescent="0.25"/>
    <row r="2877" ht="40.200000000000003" customHeight="1" x14ac:dyDescent="0.25"/>
    <row r="2878" ht="40.200000000000003" customHeight="1" x14ac:dyDescent="0.25"/>
    <row r="2879" ht="40.200000000000003" customHeight="1" x14ac:dyDescent="0.25"/>
    <row r="2880" ht="40.200000000000003" customHeight="1" x14ac:dyDescent="0.25"/>
    <row r="2881" ht="40.200000000000003" customHeight="1" x14ac:dyDescent="0.25"/>
    <row r="2882" ht="40.200000000000003" customHeight="1" x14ac:dyDescent="0.25"/>
    <row r="2883" ht="40.200000000000003" customHeight="1" x14ac:dyDescent="0.25"/>
    <row r="2884" ht="40.200000000000003" customHeight="1" x14ac:dyDescent="0.25"/>
    <row r="2885" ht="40.200000000000003" customHeight="1" x14ac:dyDescent="0.25"/>
    <row r="2886" ht="40.200000000000003" customHeight="1" x14ac:dyDescent="0.25"/>
    <row r="2887" ht="40.200000000000003" customHeight="1" x14ac:dyDescent="0.25"/>
    <row r="2888" ht="40.200000000000003" customHeight="1" x14ac:dyDescent="0.25"/>
    <row r="2889" ht="40.200000000000003" customHeight="1" x14ac:dyDescent="0.25"/>
    <row r="2890" ht="40.200000000000003" customHeight="1" x14ac:dyDescent="0.25"/>
    <row r="2891" ht="40.200000000000003" customHeight="1" x14ac:dyDescent="0.25"/>
    <row r="2892" ht="40.200000000000003" customHeight="1" x14ac:dyDescent="0.25"/>
    <row r="2893" ht="40.200000000000003" customHeight="1" x14ac:dyDescent="0.25"/>
    <row r="2894" ht="40.200000000000003" customHeight="1" x14ac:dyDescent="0.25"/>
    <row r="2895" ht="40.200000000000003" customHeight="1" x14ac:dyDescent="0.25"/>
    <row r="2896" ht="40.200000000000003" customHeight="1" x14ac:dyDescent="0.25"/>
    <row r="2897" ht="40.200000000000003" customHeight="1" x14ac:dyDescent="0.25"/>
    <row r="2898" ht="40.200000000000003" customHeight="1" x14ac:dyDescent="0.25"/>
    <row r="2899" ht="40.200000000000003" customHeight="1" x14ac:dyDescent="0.25"/>
    <row r="2900" ht="40.200000000000003" customHeight="1" x14ac:dyDescent="0.25"/>
    <row r="2901" ht="40.200000000000003" customHeight="1" x14ac:dyDescent="0.25"/>
    <row r="2902" ht="40.200000000000003" customHeight="1" x14ac:dyDescent="0.25"/>
    <row r="2903" ht="40.200000000000003" customHeight="1" x14ac:dyDescent="0.25"/>
    <row r="2904" ht="40.200000000000003" customHeight="1" x14ac:dyDescent="0.25"/>
    <row r="2905" ht="40.200000000000003" customHeight="1" x14ac:dyDescent="0.25"/>
    <row r="2906" ht="40.200000000000003" customHeight="1" x14ac:dyDescent="0.25"/>
    <row r="2907" ht="40.200000000000003" customHeight="1" x14ac:dyDescent="0.25"/>
    <row r="2908" ht="40.200000000000003" customHeight="1" x14ac:dyDescent="0.25"/>
    <row r="2909" ht="40.200000000000003" customHeight="1" x14ac:dyDescent="0.25"/>
    <row r="2910" ht="40.200000000000003" customHeight="1" x14ac:dyDescent="0.25"/>
    <row r="2911" ht="40.200000000000003" customHeight="1" x14ac:dyDescent="0.25"/>
    <row r="2912" ht="40.200000000000003" customHeight="1" x14ac:dyDescent="0.25"/>
    <row r="2913" ht="40.200000000000003" customHeight="1" x14ac:dyDescent="0.25"/>
    <row r="2914" ht="40.200000000000003" customHeight="1" x14ac:dyDescent="0.25"/>
    <row r="2915" ht="40.200000000000003" customHeight="1" x14ac:dyDescent="0.25"/>
    <row r="2916" ht="40.200000000000003" customHeight="1" x14ac:dyDescent="0.25"/>
    <row r="2917" ht="40.200000000000003" customHeight="1" x14ac:dyDescent="0.25"/>
    <row r="2918" ht="40.200000000000003" customHeight="1" x14ac:dyDescent="0.25"/>
    <row r="2919" ht="40.200000000000003" customHeight="1" x14ac:dyDescent="0.25"/>
    <row r="2920" ht="40.200000000000003" customHeight="1" x14ac:dyDescent="0.25"/>
    <row r="2921" ht="40.200000000000003" customHeight="1" x14ac:dyDescent="0.25"/>
    <row r="2922" ht="40.200000000000003" customHeight="1" x14ac:dyDescent="0.25"/>
    <row r="2923" ht="40.200000000000003" customHeight="1" x14ac:dyDescent="0.25"/>
    <row r="2924" ht="40.200000000000003" customHeight="1" x14ac:dyDescent="0.25"/>
    <row r="2925" ht="40.200000000000003" customHeight="1" x14ac:dyDescent="0.25"/>
    <row r="2926" ht="40.200000000000003" customHeight="1" x14ac:dyDescent="0.25"/>
    <row r="2927" ht="40.200000000000003" customHeight="1" x14ac:dyDescent="0.25"/>
    <row r="2928" ht="40.200000000000003" customHeight="1" x14ac:dyDescent="0.25"/>
    <row r="2929" ht="40.200000000000003" customHeight="1" x14ac:dyDescent="0.25"/>
    <row r="2930" ht="40.200000000000003" customHeight="1" x14ac:dyDescent="0.25"/>
    <row r="2931" ht="40.200000000000003" customHeight="1" x14ac:dyDescent="0.25"/>
    <row r="2932" ht="40.200000000000003" customHeight="1" x14ac:dyDescent="0.25"/>
    <row r="2933" ht="40.200000000000003" customHeight="1" x14ac:dyDescent="0.25"/>
    <row r="2934" ht="40.200000000000003" customHeight="1" x14ac:dyDescent="0.25"/>
    <row r="2935" ht="40.200000000000003" customHeight="1" x14ac:dyDescent="0.25"/>
    <row r="2936" ht="40.200000000000003" customHeight="1" x14ac:dyDescent="0.25"/>
    <row r="2937" ht="40.200000000000003" customHeight="1" x14ac:dyDescent="0.25"/>
    <row r="2938" ht="40.200000000000003" customHeight="1" x14ac:dyDescent="0.25"/>
    <row r="2939" ht="40.200000000000003" customHeight="1" x14ac:dyDescent="0.25"/>
    <row r="2940" ht="40.200000000000003" customHeight="1" x14ac:dyDescent="0.25"/>
    <row r="2941" ht="40.200000000000003" customHeight="1" x14ac:dyDescent="0.25"/>
    <row r="2942" ht="40.200000000000003" customHeight="1" x14ac:dyDescent="0.25"/>
    <row r="2943" ht="40.200000000000003" customHeight="1" x14ac:dyDescent="0.25"/>
    <row r="2944" ht="40.200000000000003" customHeight="1" x14ac:dyDescent="0.25"/>
    <row r="2945" ht="40.200000000000003" customHeight="1" x14ac:dyDescent="0.25"/>
    <row r="2946" ht="40.200000000000003" customHeight="1" x14ac:dyDescent="0.25"/>
    <row r="2947" ht="40.200000000000003" customHeight="1" x14ac:dyDescent="0.25"/>
    <row r="2948" ht="40.200000000000003" customHeight="1" x14ac:dyDescent="0.25"/>
    <row r="2949" ht="40.200000000000003" customHeight="1" x14ac:dyDescent="0.25"/>
    <row r="2950" ht="40.200000000000003" customHeight="1" x14ac:dyDescent="0.25"/>
    <row r="2951" ht="40.200000000000003" customHeight="1" x14ac:dyDescent="0.25"/>
    <row r="2952" ht="40.200000000000003" customHeight="1" x14ac:dyDescent="0.25"/>
    <row r="2953" ht="40.200000000000003" customHeight="1" x14ac:dyDescent="0.25"/>
    <row r="2954" ht="40.200000000000003" customHeight="1" x14ac:dyDescent="0.25"/>
    <row r="2955" ht="40.200000000000003" customHeight="1" x14ac:dyDescent="0.25"/>
    <row r="2956" ht="40.200000000000003" customHeight="1" x14ac:dyDescent="0.25"/>
    <row r="2957" ht="40.200000000000003" customHeight="1" x14ac:dyDescent="0.25"/>
    <row r="2958" ht="40.200000000000003" customHeight="1" x14ac:dyDescent="0.25"/>
    <row r="2959" ht="40.200000000000003" customHeight="1" x14ac:dyDescent="0.25"/>
    <row r="2960" ht="40.200000000000003" customHeight="1" x14ac:dyDescent="0.25"/>
    <row r="2961" ht="40.200000000000003" customHeight="1" x14ac:dyDescent="0.25"/>
    <row r="2962" ht="40.200000000000003" customHeight="1" x14ac:dyDescent="0.25"/>
    <row r="2963" ht="40.200000000000003" customHeight="1" x14ac:dyDescent="0.25"/>
    <row r="2964" ht="40.200000000000003" customHeight="1" x14ac:dyDescent="0.25"/>
    <row r="2965" ht="40.200000000000003" customHeight="1" x14ac:dyDescent="0.25"/>
    <row r="2966" ht="40.200000000000003" customHeight="1" x14ac:dyDescent="0.25"/>
    <row r="2967" ht="40.200000000000003" customHeight="1" x14ac:dyDescent="0.25"/>
    <row r="2968" ht="40.200000000000003" customHeight="1" x14ac:dyDescent="0.25"/>
    <row r="2969" ht="40.200000000000003" customHeight="1" x14ac:dyDescent="0.25"/>
    <row r="2970" ht="40.200000000000003" customHeight="1" x14ac:dyDescent="0.25"/>
    <row r="2971" ht="40.200000000000003" customHeight="1" x14ac:dyDescent="0.25"/>
    <row r="2972" ht="40.200000000000003" customHeight="1" x14ac:dyDescent="0.25"/>
    <row r="2973" ht="40.200000000000003" customHeight="1" x14ac:dyDescent="0.25"/>
    <row r="2974" ht="40.200000000000003" customHeight="1" x14ac:dyDescent="0.25"/>
    <row r="2975" ht="40.200000000000003" customHeight="1" x14ac:dyDescent="0.25"/>
    <row r="2976" ht="40.200000000000003" customHeight="1" x14ac:dyDescent="0.25"/>
    <row r="2977" ht="40.200000000000003" customHeight="1" x14ac:dyDescent="0.25"/>
    <row r="2978" ht="40.200000000000003" customHeight="1" x14ac:dyDescent="0.25"/>
    <row r="2979" ht="40.200000000000003" customHeight="1" x14ac:dyDescent="0.25"/>
    <row r="2980" ht="40.200000000000003" customHeight="1" x14ac:dyDescent="0.25"/>
    <row r="2981" ht="40.200000000000003" customHeight="1" x14ac:dyDescent="0.25"/>
    <row r="2982" ht="40.200000000000003" customHeight="1" x14ac:dyDescent="0.25"/>
    <row r="2983" ht="40.200000000000003" customHeight="1" x14ac:dyDescent="0.25"/>
    <row r="2984" ht="40.200000000000003" customHeight="1" x14ac:dyDescent="0.25"/>
    <row r="2985" ht="40.200000000000003" customHeight="1" x14ac:dyDescent="0.25"/>
    <row r="2986" ht="40.200000000000003" customHeight="1" x14ac:dyDescent="0.25"/>
    <row r="2987" ht="40.200000000000003" customHeight="1" x14ac:dyDescent="0.25"/>
    <row r="2988" ht="40.200000000000003" customHeight="1" x14ac:dyDescent="0.25"/>
    <row r="2989" ht="40.200000000000003" customHeight="1" x14ac:dyDescent="0.25"/>
    <row r="2990" ht="40.200000000000003" customHeight="1" x14ac:dyDescent="0.25"/>
    <row r="2991" ht="40.200000000000003" customHeight="1" x14ac:dyDescent="0.25"/>
    <row r="2992" ht="40.200000000000003" customHeight="1" x14ac:dyDescent="0.25"/>
    <row r="2993" ht="40.200000000000003" customHeight="1" x14ac:dyDescent="0.25"/>
    <row r="2994" ht="40.200000000000003" customHeight="1" x14ac:dyDescent="0.25"/>
    <row r="2995" ht="40.200000000000003" customHeight="1" x14ac:dyDescent="0.25"/>
    <row r="2996" ht="40.200000000000003" customHeight="1" x14ac:dyDescent="0.25"/>
    <row r="2997" ht="40.200000000000003" customHeight="1" x14ac:dyDescent="0.25"/>
    <row r="2998" ht="40.200000000000003" customHeight="1" x14ac:dyDescent="0.25"/>
    <row r="2999" ht="40.200000000000003" customHeight="1" x14ac:dyDescent="0.25"/>
    <row r="3000" ht="40.200000000000003" customHeight="1" x14ac:dyDescent="0.25"/>
    <row r="3001" ht="40.200000000000003" customHeight="1" x14ac:dyDescent="0.25"/>
  </sheetData>
  <mergeCells count="6">
    <mergeCell ref="F2:J2"/>
    <mergeCell ref="A2:E2"/>
    <mergeCell ref="K2:M2"/>
    <mergeCell ref="A1:E1"/>
    <mergeCell ref="F1:J1"/>
    <mergeCell ref="K1:M1"/>
  </mergeCells>
  <printOptions horizontalCentered="1"/>
  <pageMargins left="0.7" right="0.7" top="0.75" bottom="0.75" header="0.3" footer="0.3"/>
  <pageSetup scale="77" orientation="portrait" horizontalDpi="300" verticalDpi="4294967295" r:id="rId1"/>
  <colBreaks count="1" manualBreakCount="1">
    <brk id="5" max="1048575" man="1"/>
  </colBreaks>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tabColor theme="5" tint="-0.249977111117893"/>
  </sheetPr>
  <dimension ref="A1:E12"/>
  <sheetViews>
    <sheetView zoomScale="85" zoomScaleNormal="85" workbookViewId="0">
      <selection activeCell="A6" sqref="A6"/>
    </sheetView>
  </sheetViews>
  <sheetFormatPr defaultColWidth="9.33203125" defaultRowHeight="13.2" x14ac:dyDescent="0.25"/>
  <cols>
    <col min="1" max="1" width="59.33203125" customWidth="1"/>
    <col min="2" max="5" width="25.6640625" customWidth="1"/>
  </cols>
  <sheetData>
    <row r="1" spans="1:5" ht="13.8" x14ac:dyDescent="0.25">
      <c r="A1" s="23" t="s">
        <v>45</v>
      </c>
      <c r="B1" s="24">
        <v>45985.446134259262</v>
      </c>
      <c r="C1" s="4"/>
    </row>
    <row r="2" spans="1:5" ht="42" customHeight="1" x14ac:dyDescent="0.25">
      <c r="A2" s="25" t="s">
        <v>46</v>
      </c>
      <c r="B2" s="26" t="s">
        <v>47</v>
      </c>
      <c r="C2" s="26" t="s">
        <v>48</v>
      </c>
      <c r="D2" s="27" t="s">
        <v>49</v>
      </c>
      <c r="E2" s="27" t="s">
        <v>50</v>
      </c>
    </row>
    <row r="3" spans="1:5" x14ac:dyDescent="0.25">
      <c r="A3" s="111" t="s">
        <v>51</v>
      </c>
      <c r="B3" s="131">
        <v>7</v>
      </c>
      <c r="C3" s="131">
        <v>1</v>
      </c>
      <c r="D3" s="131">
        <v>0</v>
      </c>
      <c r="E3" s="131">
        <v>7</v>
      </c>
    </row>
    <row r="4" spans="1:5" x14ac:dyDescent="0.25">
      <c r="A4" s="111" t="s">
        <v>374</v>
      </c>
      <c r="B4" s="131">
        <v>0</v>
      </c>
      <c r="C4" s="131">
        <v>0</v>
      </c>
      <c r="D4" s="131">
        <v>0</v>
      </c>
      <c r="E4" s="131">
        <v>0</v>
      </c>
    </row>
    <row r="5" spans="1:5" x14ac:dyDescent="0.25">
      <c r="A5" s="111" t="s">
        <v>375</v>
      </c>
      <c r="B5" s="131">
        <v>1</v>
      </c>
      <c r="C5" s="131">
        <v>0</v>
      </c>
      <c r="D5" s="131">
        <v>1</v>
      </c>
      <c r="E5" s="131">
        <v>10</v>
      </c>
    </row>
    <row r="6" spans="1:5" x14ac:dyDescent="0.25">
      <c r="A6" s="111" t="s">
        <v>376</v>
      </c>
      <c r="B6" s="131">
        <v>0</v>
      </c>
      <c r="C6" s="131">
        <v>0</v>
      </c>
      <c r="D6" s="131">
        <v>0</v>
      </c>
      <c r="E6" s="131">
        <v>0</v>
      </c>
    </row>
    <row r="7" spans="1:5" x14ac:dyDescent="0.25">
      <c r="A7" s="111" t="s">
        <v>382</v>
      </c>
      <c r="B7" s="131">
        <v>0</v>
      </c>
      <c r="C7" s="131">
        <v>2</v>
      </c>
      <c r="D7" s="131">
        <v>0</v>
      </c>
      <c r="E7" s="131">
        <v>0</v>
      </c>
    </row>
    <row r="8" spans="1:5" x14ac:dyDescent="0.25">
      <c r="A8" s="111" t="s">
        <v>378</v>
      </c>
      <c r="B8" s="131">
        <v>0</v>
      </c>
      <c r="C8" s="131">
        <v>0</v>
      </c>
      <c r="D8" s="131">
        <v>0</v>
      </c>
      <c r="E8" s="131">
        <v>2</v>
      </c>
    </row>
    <row r="9" spans="1:5" x14ac:dyDescent="0.25">
      <c r="A9" s="111" t="s">
        <v>380</v>
      </c>
      <c r="B9" s="131">
        <v>0</v>
      </c>
      <c r="C9" s="131">
        <v>0</v>
      </c>
      <c r="D9" s="131">
        <v>0</v>
      </c>
      <c r="E9" s="131">
        <v>1</v>
      </c>
    </row>
    <row r="10" spans="1:5" x14ac:dyDescent="0.25">
      <c r="A10" s="111" t="s">
        <v>384</v>
      </c>
      <c r="B10" s="131">
        <v>0</v>
      </c>
      <c r="C10" s="131">
        <v>0</v>
      </c>
      <c r="D10" s="131">
        <v>0</v>
      </c>
      <c r="E10" s="131">
        <v>0</v>
      </c>
    </row>
    <row r="11" spans="1:5" x14ac:dyDescent="0.25">
      <c r="A11" s="111" t="s">
        <v>383</v>
      </c>
      <c r="B11" s="131">
        <v>0</v>
      </c>
      <c r="C11" s="131">
        <v>0</v>
      </c>
      <c r="D11" s="131">
        <v>0</v>
      </c>
      <c r="E11" s="131">
        <v>0</v>
      </c>
    </row>
    <row r="12" spans="1:5" x14ac:dyDescent="0.25">
      <c r="A12" s="132" t="s">
        <v>52</v>
      </c>
      <c r="B12" s="133">
        <v>8</v>
      </c>
      <c r="C12" s="133">
        <v>3</v>
      </c>
      <c r="D12" s="133">
        <v>1</v>
      </c>
      <c r="E12" s="133">
        <v>20</v>
      </c>
    </row>
  </sheetData>
  <dataConsolidate/>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filterMode="1">
    <tabColor theme="7" tint="-0.249977111117893"/>
  </sheetPr>
  <dimension ref="A1:Z127"/>
  <sheetViews>
    <sheetView topLeftCell="A95" zoomScale="85" zoomScaleNormal="85" workbookViewId="0">
      <selection activeCell="A7" sqref="A7:Y124"/>
    </sheetView>
  </sheetViews>
  <sheetFormatPr defaultColWidth="9.33203125" defaultRowHeight="13.2" x14ac:dyDescent="0.25"/>
  <cols>
    <col min="1" max="1" width="44.6640625" bestFit="1" customWidth="1"/>
    <col min="2" max="2" width="15.6640625" hidden="1" customWidth="1"/>
    <col min="3" max="3" width="15.6640625" bestFit="1" customWidth="1"/>
    <col min="4" max="4" width="26.109375" customWidth="1"/>
    <col min="5" max="5" width="21.5546875" customWidth="1"/>
    <col min="6" max="6" width="31.88671875" customWidth="1"/>
    <col min="7" max="8" width="13" hidden="1" customWidth="1"/>
    <col min="9" max="9" width="26" hidden="1" customWidth="1"/>
    <col min="10" max="10" width="32.6640625" customWidth="1"/>
    <col min="11" max="11" width="19" hidden="1" customWidth="1"/>
    <col min="12" max="12" width="16.6640625" hidden="1" customWidth="1"/>
    <col min="13" max="13" width="20.33203125" customWidth="1"/>
    <col min="14" max="14" width="24.5546875" hidden="1" customWidth="1"/>
    <col min="15" max="15" width="24.6640625" hidden="1" customWidth="1"/>
    <col min="16" max="16" width="28.5546875" hidden="1" customWidth="1"/>
    <col min="17" max="17" width="25.33203125" hidden="1" customWidth="1"/>
    <col min="18" max="18" width="24.33203125" hidden="1" customWidth="1"/>
    <col min="19" max="19" width="23.33203125" hidden="1" customWidth="1"/>
    <col min="20" max="20" width="20.44140625" hidden="1" customWidth="1"/>
    <col min="21" max="21" width="19.33203125" hidden="1" customWidth="1"/>
    <col min="22" max="22" width="18" hidden="1" customWidth="1"/>
    <col min="23" max="23" width="11.5546875" hidden="1" customWidth="1"/>
    <col min="24" max="24" width="13.33203125" hidden="1" customWidth="1"/>
    <col min="25" max="25" width="43.33203125" customWidth="1"/>
  </cols>
  <sheetData>
    <row r="1" spans="1:26" ht="29.4" x14ac:dyDescent="0.4">
      <c r="A1" s="205" t="s">
        <v>53</v>
      </c>
      <c r="B1" s="205"/>
      <c r="C1" s="205"/>
      <c r="D1" s="205"/>
      <c r="E1" s="205"/>
      <c r="F1" s="205"/>
      <c r="G1" s="205"/>
      <c r="H1" s="108" t="s">
        <v>54</v>
      </c>
      <c r="I1" s="109">
        <v>45985.4455787037</v>
      </c>
      <c r="J1" s="108" t="s">
        <v>55</v>
      </c>
      <c r="K1" s="130">
        <v>125</v>
      </c>
      <c r="L1" s="107"/>
    </row>
    <row r="2" spans="1:26" ht="15.6" x14ac:dyDescent="0.3">
      <c r="A2" s="110" t="s">
        <v>46</v>
      </c>
      <c r="B2" s="110" t="s">
        <v>9</v>
      </c>
      <c r="C2" s="110" t="s">
        <v>56</v>
      </c>
      <c r="D2" s="110" t="s">
        <v>57</v>
      </c>
      <c r="E2" s="110" t="s">
        <v>58</v>
      </c>
      <c r="F2" s="110" t="s">
        <v>59</v>
      </c>
      <c r="G2" s="110" t="s">
        <v>60</v>
      </c>
      <c r="H2" s="110" t="s">
        <v>61</v>
      </c>
      <c r="I2" s="110" t="s">
        <v>62</v>
      </c>
      <c r="J2" s="110" t="s">
        <v>63</v>
      </c>
      <c r="K2" s="110" t="s">
        <v>64</v>
      </c>
      <c r="L2" s="110" t="s">
        <v>65</v>
      </c>
      <c r="M2" s="110" t="s">
        <v>66</v>
      </c>
      <c r="N2" s="110" t="s">
        <v>67</v>
      </c>
      <c r="O2" s="110" t="s">
        <v>68</v>
      </c>
      <c r="P2" s="110" t="s">
        <v>69</v>
      </c>
      <c r="Q2" s="110" t="s">
        <v>70</v>
      </c>
      <c r="R2" s="110" t="s">
        <v>71</v>
      </c>
      <c r="S2" s="110" t="s">
        <v>72</v>
      </c>
      <c r="T2" s="110" t="s">
        <v>73</v>
      </c>
      <c r="U2" s="110" t="s">
        <v>74</v>
      </c>
      <c r="V2" s="110" t="s">
        <v>75</v>
      </c>
      <c r="W2" s="110" t="s">
        <v>76</v>
      </c>
      <c r="X2" s="110" t="s">
        <v>77</v>
      </c>
      <c r="Y2" s="110" t="s">
        <v>78</v>
      </c>
    </row>
    <row r="3" spans="1:26" s="21" customFormat="1" ht="130.94999999999999" hidden="1" customHeight="1" x14ac:dyDescent="0.25">
      <c r="A3" s="1" t="s">
        <v>51</v>
      </c>
      <c r="B3" s="1" t="s">
        <v>82</v>
      </c>
      <c r="C3" s="1" t="s">
        <v>429</v>
      </c>
      <c r="D3" s="1" t="s">
        <v>83</v>
      </c>
      <c r="E3" s="1" t="s">
        <v>96</v>
      </c>
      <c r="F3" s="1" t="s">
        <v>430</v>
      </c>
      <c r="G3" s="1" t="s">
        <v>431</v>
      </c>
      <c r="H3" s="134">
        <v>45306</v>
      </c>
      <c r="I3" s="1"/>
      <c r="J3" s="1" t="s">
        <v>432</v>
      </c>
      <c r="K3" s="1">
        <v>253</v>
      </c>
      <c r="L3" s="1" t="s">
        <v>80</v>
      </c>
      <c r="M3" s="1" t="s">
        <v>81</v>
      </c>
      <c r="N3" s="1" t="s">
        <v>359</v>
      </c>
      <c r="O3" s="1"/>
      <c r="P3" s="1"/>
      <c r="Q3" s="1"/>
      <c r="R3" s="1"/>
      <c r="S3" s="1"/>
      <c r="T3" s="1"/>
      <c r="U3" s="1"/>
      <c r="V3" s="1"/>
      <c r="W3" s="1"/>
      <c r="X3" s="1"/>
      <c r="Y3" s="1"/>
      <c r="Z3"/>
    </row>
    <row r="4" spans="1:26" s="21" customFormat="1" hidden="1" x14ac:dyDescent="0.25">
      <c r="A4" s="1" t="s">
        <v>51</v>
      </c>
      <c r="B4" s="1"/>
      <c r="C4" s="1" t="s">
        <v>433</v>
      </c>
      <c r="D4" s="1" t="s">
        <v>434</v>
      </c>
      <c r="E4" s="1" t="s">
        <v>79</v>
      </c>
      <c r="F4" s="1" t="s">
        <v>435</v>
      </c>
      <c r="G4" s="1" t="s">
        <v>436</v>
      </c>
      <c r="H4" s="134">
        <v>45321</v>
      </c>
      <c r="I4" s="1"/>
      <c r="J4" s="1" t="s">
        <v>437</v>
      </c>
      <c r="K4" s="1">
        <v>140</v>
      </c>
      <c r="L4" s="1" t="s">
        <v>80</v>
      </c>
      <c r="M4" s="1" t="s">
        <v>81</v>
      </c>
      <c r="N4" s="1" t="s">
        <v>438</v>
      </c>
      <c r="O4" s="1"/>
      <c r="P4" s="1"/>
      <c r="Q4" s="1"/>
      <c r="R4" s="1"/>
      <c r="S4" s="1"/>
      <c r="T4" s="1"/>
      <c r="U4" s="1"/>
      <c r="V4" s="1"/>
      <c r="W4" s="1"/>
      <c r="X4" s="1"/>
      <c r="Y4" s="1"/>
      <c r="Z4"/>
    </row>
    <row r="5" spans="1:26" s="21" customFormat="1" hidden="1" x14ac:dyDescent="0.25">
      <c r="A5" s="1" t="s">
        <v>51</v>
      </c>
      <c r="B5" s="1" t="s">
        <v>82</v>
      </c>
      <c r="C5" s="1" t="s">
        <v>440</v>
      </c>
      <c r="D5" s="1" t="s">
        <v>434</v>
      </c>
      <c r="E5" s="1" t="s">
        <v>79</v>
      </c>
      <c r="F5" s="1" t="s">
        <v>441</v>
      </c>
      <c r="G5" s="1" t="s">
        <v>442</v>
      </c>
      <c r="H5" s="134">
        <v>45518</v>
      </c>
      <c r="I5" s="1"/>
      <c r="J5" s="1" t="s">
        <v>443</v>
      </c>
      <c r="K5" s="1">
        <v>1906</v>
      </c>
      <c r="L5" s="1" t="s">
        <v>80</v>
      </c>
      <c r="M5" s="1" t="s">
        <v>81</v>
      </c>
      <c r="N5" s="1" t="s">
        <v>444</v>
      </c>
      <c r="O5" s="1"/>
      <c r="P5" s="1"/>
      <c r="Q5" s="1"/>
      <c r="R5" s="1"/>
      <c r="S5" s="1"/>
      <c r="T5" s="1"/>
      <c r="U5" s="1"/>
      <c r="V5" s="1"/>
      <c r="W5" s="1"/>
      <c r="X5" s="1"/>
      <c r="Y5" s="1"/>
      <c r="Z5"/>
    </row>
    <row r="6" spans="1:26" s="21" customFormat="1" hidden="1" x14ac:dyDescent="0.25">
      <c r="A6" s="1" t="s">
        <v>375</v>
      </c>
      <c r="B6" s="1"/>
      <c r="C6" s="1" t="s">
        <v>448</v>
      </c>
      <c r="D6" s="1" t="s">
        <v>434</v>
      </c>
      <c r="E6" s="1" t="s">
        <v>98</v>
      </c>
      <c r="F6" s="1" t="s">
        <v>449</v>
      </c>
      <c r="G6" s="1" t="s">
        <v>450</v>
      </c>
      <c r="H6" s="134">
        <v>45552</v>
      </c>
      <c r="I6" s="134">
        <v>45833</v>
      </c>
      <c r="J6" s="1" t="s">
        <v>451</v>
      </c>
      <c r="K6" s="1">
        <v>0</v>
      </c>
      <c r="L6" s="1" t="s">
        <v>80</v>
      </c>
      <c r="M6" s="1" t="s">
        <v>118</v>
      </c>
      <c r="N6" s="1" t="s">
        <v>452</v>
      </c>
      <c r="O6" s="1"/>
      <c r="P6" s="1"/>
      <c r="Q6" s="1"/>
      <c r="R6" s="1"/>
      <c r="S6" s="1"/>
      <c r="T6" s="1"/>
      <c r="U6" s="1"/>
      <c r="V6" s="1"/>
      <c r="W6" s="1"/>
      <c r="X6" s="1"/>
      <c r="Y6" s="1"/>
      <c r="Z6"/>
    </row>
    <row r="7" spans="1:26" s="21" customFormat="1" ht="39.6" x14ac:dyDescent="0.25">
      <c r="A7" s="138" t="s">
        <v>51</v>
      </c>
      <c r="B7" s="138" t="s">
        <v>82</v>
      </c>
      <c r="C7" s="138" t="s">
        <v>454</v>
      </c>
      <c r="D7" s="138" t="s">
        <v>83</v>
      </c>
      <c r="E7" s="138" t="s">
        <v>84</v>
      </c>
      <c r="F7" s="138" t="s">
        <v>455</v>
      </c>
      <c r="G7" s="138" t="s">
        <v>456</v>
      </c>
      <c r="H7" s="139">
        <v>45607</v>
      </c>
      <c r="I7" s="139">
        <v>45607</v>
      </c>
      <c r="J7" s="138" t="s">
        <v>457</v>
      </c>
      <c r="K7" s="138">
        <v>23</v>
      </c>
      <c r="L7" s="138" t="s">
        <v>80</v>
      </c>
      <c r="M7" s="138" t="s">
        <v>81</v>
      </c>
      <c r="N7" s="138" t="s">
        <v>359</v>
      </c>
      <c r="O7" s="138"/>
      <c r="P7" s="138"/>
      <c r="Q7" s="138"/>
      <c r="R7" s="138"/>
      <c r="S7" s="138"/>
      <c r="T7" s="138"/>
      <c r="U7" s="138"/>
      <c r="V7" s="138"/>
      <c r="W7" s="138"/>
      <c r="X7" s="138"/>
      <c r="Y7" s="140" t="s">
        <v>420</v>
      </c>
      <c r="Z7"/>
    </row>
    <row r="8" spans="1:26" s="21" customFormat="1" hidden="1" x14ac:dyDescent="0.25">
      <c r="A8" s="1" t="s">
        <v>375</v>
      </c>
      <c r="B8" s="1"/>
      <c r="C8" s="1" t="s">
        <v>458</v>
      </c>
      <c r="D8" s="1" t="s">
        <v>434</v>
      </c>
      <c r="E8" s="1" t="s">
        <v>79</v>
      </c>
      <c r="F8" s="1" t="s">
        <v>459</v>
      </c>
      <c r="G8" s="1" t="s">
        <v>460</v>
      </c>
      <c r="H8" s="134">
        <v>45610</v>
      </c>
      <c r="I8" s="134">
        <v>45833</v>
      </c>
      <c r="J8" s="1" t="s">
        <v>451</v>
      </c>
      <c r="K8" s="1">
        <v>95</v>
      </c>
      <c r="L8" s="1" t="s">
        <v>80</v>
      </c>
      <c r="M8" s="1" t="s">
        <v>118</v>
      </c>
      <c r="N8" s="1" t="s">
        <v>461</v>
      </c>
      <c r="O8" s="1"/>
      <c r="P8" s="1"/>
      <c r="Q8" s="1"/>
      <c r="R8" s="1"/>
      <c r="S8" s="1"/>
      <c r="T8" s="1"/>
      <c r="U8" s="1"/>
      <c r="V8" s="1"/>
      <c r="W8" s="1"/>
      <c r="X8" s="1"/>
      <c r="Y8" s="1"/>
      <c r="Z8"/>
    </row>
    <row r="9" spans="1:26" s="21" customFormat="1" hidden="1" x14ac:dyDescent="0.25">
      <c r="A9" s="1" t="s">
        <v>51</v>
      </c>
      <c r="B9" s="1" t="s">
        <v>82</v>
      </c>
      <c r="C9" s="1" t="s">
        <v>462</v>
      </c>
      <c r="D9" s="1" t="s">
        <v>83</v>
      </c>
      <c r="E9" s="1" t="s">
        <v>79</v>
      </c>
      <c r="F9" s="1" t="s">
        <v>463</v>
      </c>
      <c r="G9" s="1" t="s">
        <v>446</v>
      </c>
      <c r="H9" s="134">
        <v>45614</v>
      </c>
      <c r="I9" s="134">
        <v>45622</v>
      </c>
      <c r="J9" s="1" t="s">
        <v>447</v>
      </c>
      <c r="K9" s="1">
        <v>246</v>
      </c>
      <c r="L9" s="1" t="s">
        <v>80</v>
      </c>
      <c r="M9" s="1" t="s">
        <v>81</v>
      </c>
      <c r="N9" s="1" t="s">
        <v>85</v>
      </c>
      <c r="O9" s="134">
        <v>45582</v>
      </c>
      <c r="P9" s="1" t="s">
        <v>464</v>
      </c>
      <c r="Q9" s="1" t="s">
        <v>9</v>
      </c>
      <c r="R9" s="1" t="s">
        <v>465</v>
      </c>
      <c r="S9" s="1"/>
      <c r="T9" s="1"/>
      <c r="U9" s="1"/>
      <c r="V9" s="1"/>
      <c r="W9" s="1"/>
      <c r="X9" s="1"/>
      <c r="Y9" s="1"/>
      <c r="Z9"/>
    </row>
    <row r="10" spans="1:26" s="21" customFormat="1" hidden="1" x14ac:dyDescent="0.25">
      <c r="A10" s="1" t="s">
        <v>51</v>
      </c>
      <c r="B10" s="1" t="s">
        <v>82</v>
      </c>
      <c r="C10" s="1" t="s">
        <v>466</v>
      </c>
      <c r="D10" s="1" t="s">
        <v>83</v>
      </c>
      <c r="E10" s="1" t="s">
        <v>79</v>
      </c>
      <c r="F10" s="1" t="s">
        <v>467</v>
      </c>
      <c r="G10" s="1" t="s">
        <v>89</v>
      </c>
      <c r="H10" s="134">
        <v>45629</v>
      </c>
      <c r="I10" s="1"/>
      <c r="J10" s="1" t="s">
        <v>543</v>
      </c>
      <c r="K10" s="1">
        <v>120</v>
      </c>
      <c r="L10" s="1" t="s">
        <v>80</v>
      </c>
      <c r="M10" s="1" t="s">
        <v>81</v>
      </c>
      <c r="N10" s="1" t="s">
        <v>357</v>
      </c>
      <c r="O10" s="1"/>
      <c r="P10" s="1"/>
      <c r="Q10" s="1"/>
      <c r="R10" s="1"/>
      <c r="S10" s="1"/>
      <c r="T10" s="1"/>
      <c r="U10" s="1"/>
      <c r="V10" s="1"/>
      <c r="W10" s="1"/>
      <c r="X10" s="1"/>
      <c r="Y10" s="1"/>
      <c r="Z10"/>
    </row>
    <row r="11" spans="1:26" s="21" customFormat="1" hidden="1" x14ac:dyDescent="0.25">
      <c r="A11" s="1" t="s">
        <v>51</v>
      </c>
      <c r="B11" s="1" t="s">
        <v>82</v>
      </c>
      <c r="C11" s="1" t="s">
        <v>469</v>
      </c>
      <c r="D11" s="1" t="s">
        <v>434</v>
      </c>
      <c r="E11" s="1" t="s">
        <v>79</v>
      </c>
      <c r="F11" s="1" t="s">
        <v>470</v>
      </c>
      <c r="G11" s="1" t="s">
        <v>471</v>
      </c>
      <c r="H11" s="134">
        <v>45631</v>
      </c>
      <c r="I11" s="134">
        <v>45847</v>
      </c>
      <c r="J11" s="1" t="s">
        <v>432</v>
      </c>
      <c r="K11" s="1">
        <v>277</v>
      </c>
      <c r="L11" s="1" t="s">
        <v>80</v>
      </c>
      <c r="M11" s="1" t="s">
        <v>81</v>
      </c>
      <c r="N11" s="1" t="s">
        <v>472</v>
      </c>
      <c r="O11" s="1"/>
      <c r="P11" s="1"/>
      <c r="Q11" s="1"/>
      <c r="R11" s="1"/>
      <c r="S11" s="1"/>
      <c r="T11" s="1"/>
      <c r="U11" s="1"/>
      <c r="V11" s="1"/>
      <c r="W11" s="1"/>
      <c r="X11" s="1"/>
      <c r="Y11" s="1"/>
      <c r="Z11"/>
    </row>
    <row r="12" spans="1:26" s="21" customFormat="1" ht="39.6" x14ac:dyDescent="0.25">
      <c r="A12" s="138" t="s">
        <v>51</v>
      </c>
      <c r="B12" s="138" t="s">
        <v>82</v>
      </c>
      <c r="C12" s="138" t="s">
        <v>1765</v>
      </c>
      <c r="D12" s="138" t="s">
        <v>83</v>
      </c>
      <c r="E12" s="138" t="s">
        <v>84</v>
      </c>
      <c r="F12" s="138" t="s">
        <v>1766</v>
      </c>
      <c r="G12" s="138" t="s">
        <v>89</v>
      </c>
      <c r="H12" s="139">
        <v>45694</v>
      </c>
      <c r="I12" s="138"/>
      <c r="J12" s="138" t="s">
        <v>457</v>
      </c>
      <c r="K12" s="138">
        <v>21</v>
      </c>
      <c r="L12" s="138" t="s">
        <v>80</v>
      </c>
      <c r="M12" s="138" t="s">
        <v>81</v>
      </c>
      <c r="N12" s="138" t="s">
        <v>567</v>
      </c>
      <c r="O12" s="138"/>
      <c r="P12" s="138"/>
      <c r="Q12" s="138"/>
      <c r="R12" s="138"/>
      <c r="S12" s="138"/>
      <c r="T12" s="138"/>
      <c r="U12" s="138"/>
      <c r="V12" s="138"/>
      <c r="W12" s="138"/>
      <c r="X12" s="138"/>
      <c r="Y12" s="140" t="s">
        <v>420</v>
      </c>
      <c r="Z12"/>
    </row>
    <row r="13" spans="1:26" s="21" customFormat="1" hidden="1" x14ac:dyDescent="0.25">
      <c r="A13" s="1" t="s">
        <v>51</v>
      </c>
      <c r="B13" s="1" t="s">
        <v>82</v>
      </c>
      <c r="C13" s="1" t="s">
        <v>361</v>
      </c>
      <c r="D13" s="1" t="s">
        <v>83</v>
      </c>
      <c r="E13" s="1" t="s">
        <v>96</v>
      </c>
      <c r="F13" s="1" t="s">
        <v>362</v>
      </c>
      <c r="G13" s="1" t="s">
        <v>88</v>
      </c>
      <c r="H13" s="134">
        <v>45699</v>
      </c>
      <c r="I13" s="1"/>
      <c r="J13" s="1" t="s">
        <v>387</v>
      </c>
      <c r="K13" s="1">
        <v>120</v>
      </c>
      <c r="L13" s="1" t="s">
        <v>80</v>
      </c>
      <c r="M13" s="1" t="s">
        <v>81</v>
      </c>
      <c r="N13" s="1" t="s">
        <v>357</v>
      </c>
      <c r="O13" s="1"/>
      <c r="P13" s="1"/>
      <c r="Q13" s="1"/>
      <c r="R13" s="1"/>
      <c r="S13" s="1"/>
      <c r="T13" s="1"/>
      <c r="U13" s="1"/>
      <c r="V13" s="1"/>
      <c r="W13" s="1"/>
      <c r="X13" s="1"/>
      <c r="Y13" s="1"/>
      <c r="Z13"/>
    </row>
    <row r="14" spans="1:26" s="21" customFormat="1" hidden="1" x14ac:dyDescent="0.25">
      <c r="A14" s="1" t="s">
        <v>375</v>
      </c>
      <c r="B14" s="1"/>
      <c r="C14" s="1" t="s">
        <v>473</v>
      </c>
      <c r="D14" s="1" t="s">
        <v>83</v>
      </c>
      <c r="E14" s="1" t="s">
        <v>79</v>
      </c>
      <c r="F14" s="1" t="s">
        <v>474</v>
      </c>
      <c r="G14" s="1" t="s">
        <v>475</v>
      </c>
      <c r="H14" s="134">
        <v>45728</v>
      </c>
      <c r="I14" s="134">
        <v>45790</v>
      </c>
      <c r="J14" s="1" t="s">
        <v>451</v>
      </c>
      <c r="K14" s="1">
        <v>34</v>
      </c>
      <c r="L14" s="1" t="s">
        <v>80</v>
      </c>
      <c r="M14" s="1" t="s">
        <v>118</v>
      </c>
      <c r="N14" s="1" t="s">
        <v>379</v>
      </c>
      <c r="O14" s="1"/>
      <c r="P14" s="1"/>
      <c r="Q14" s="1"/>
      <c r="R14" s="1"/>
      <c r="S14" s="1"/>
      <c r="T14" s="1"/>
      <c r="U14" s="1"/>
      <c r="V14" s="1"/>
      <c r="W14" s="1"/>
      <c r="X14" s="1"/>
      <c r="Y14" s="1"/>
      <c r="Z14"/>
    </row>
    <row r="15" spans="1:26" s="21" customFormat="1" hidden="1" x14ac:dyDescent="0.25">
      <c r="A15" s="1" t="s">
        <v>384</v>
      </c>
      <c r="B15" s="1" t="s">
        <v>1234</v>
      </c>
      <c r="C15" s="1" t="s">
        <v>1235</v>
      </c>
      <c r="D15" s="1" t="s">
        <v>83</v>
      </c>
      <c r="E15" s="1" t="s">
        <v>79</v>
      </c>
      <c r="F15" s="1" t="s">
        <v>1236</v>
      </c>
      <c r="G15" s="1" t="s">
        <v>1237</v>
      </c>
      <c r="H15" s="134">
        <v>45735</v>
      </c>
      <c r="I15" s="134">
        <v>45945</v>
      </c>
      <c r="J15" s="1" t="s">
        <v>520</v>
      </c>
      <c r="K15" s="1">
        <v>19</v>
      </c>
      <c r="L15" s="1" t="s">
        <v>521</v>
      </c>
      <c r="M15" s="1" t="s">
        <v>81</v>
      </c>
      <c r="N15" s="1" t="s">
        <v>1238</v>
      </c>
      <c r="O15" s="1"/>
      <c r="P15" s="1"/>
      <c r="Q15" s="1"/>
      <c r="R15" s="1"/>
      <c r="S15" s="1"/>
      <c r="T15" s="1"/>
      <c r="U15" s="1"/>
      <c r="V15" s="1"/>
      <c r="W15" s="1"/>
      <c r="X15" s="1"/>
      <c r="Y15" s="1"/>
      <c r="Z15"/>
    </row>
    <row r="16" spans="1:26" s="21" customFormat="1" hidden="1" x14ac:dyDescent="0.25">
      <c r="A16" s="1" t="s">
        <v>380</v>
      </c>
      <c r="B16" s="1" t="s">
        <v>1234</v>
      </c>
      <c r="C16" s="1" t="s">
        <v>1239</v>
      </c>
      <c r="D16" s="1" t="s">
        <v>83</v>
      </c>
      <c r="E16" s="1" t="s">
        <v>84</v>
      </c>
      <c r="F16" s="1" t="s">
        <v>1240</v>
      </c>
      <c r="G16" s="1" t="s">
        <v>1237</v>
      </c>
      <c r="H16" s="134">
        <v>45735</v>
      </c>
      <c r="I16" s="134">
        <v>45952</v>
      </c>
      <c r="J16" s="1" t="s">
        <v>520</v>
      </c>
      <c r="K16" s="1">
        <v>52</v>
      </c>
      <c r="L16" s="1" t="s">
        <v>80</v>
      </c>
      <c r="M16" s="1" t="s">
        <v>81</v>
      </c>
      <c r="N16" s="1" t="s">
        <v>1238</v>
      </c>
      <c r="O16" s="1"/>
      <c r="P16" s="1"/>
      <c r="Q16" s="1"/>
      <c r="R16" s="1"/>
      <c r="S16" s="1"/>
      <c r="T16" s="1"/>
      <c r="U16" s="1"/>
      <c r="V16" s="1"/>
      <c r="W16" s="1"/>
      <c r="X16" s="1"/>
      <c r="Y16" s="1"/>
      <c r="Z16"/>
    </row>
    <row r="17" spans="1:26" s="21" customFormat="1" hidden="1" x14ac:dyDescent="0.25">
      <c r="A17" s="1" t="s">
        <v>380</v>
      </c>
      <c r="B17" s="1" t="s">
        <v>476</v>
      </c>
      <c r="C17" s="1" t="s">
        <v>477</v>
      </c>
      <c r="D17" s="1" t="s">
        <v>83</v>
      </c>
      <c r="E17" s="1" t="s">
        <v>96</v>
      </c>
      <c r="F17" s="1" t="s">
        <v>478</v>
      </c>
      <c r="G17" s="1" t="s">
        <v>479</v>
      </c>
      <c r="H17" s="134">
        <v>45749</v>
      </c>
      <c r="I17" s="134">
        <v>45749</v>
      </c>
      <c r="J17" s="1" t="s">
        <v>480</v>
      </c>
      <c r="K17" s="1">
        <v>135</v>
      </c>
      <c r="L17" s="1" t="s">
        <v>80</v>
      </c>
      <c r="M17" s="1" t="s">
        <v>81</v>
      </c>
      <c r="N17" s="1" t="s">
        <v>481</v>
      </c>
      <c r="O17" s="1"/>
      <c r="P17" s="1"/>
      <c r="Q17" s="1"/>
      <c r="R17" s="1"/>
      <c r="S17" s="1"/>
      <c r="T17" s="1"/>
      <c r="U17" s="1"/>
      <c r="V17" s="1"/>
      <c r="W17" s="1"/>
      <c r="X17" s="1"/>
      <c r="Y17" s="1"/>
      <c r="Z17"/>
    </row>
    <row r="18" spans="1:26" s="21" customFormat="1" hidden="1" x14ac:dyDescent="0.25">
      <c r="A18" s="1" t="s">
        <v>375</v>
      </c>
      <c r="B18" s="1"/>
      <c r="C18" s="1" t="s">
        <v>482</v>
      </c>
      <c r="D18" s="1" t="s">
        <v>83</v>
      </c>
      <c r="E18" s="1" t="s">
        <v>87</v>
      </c>
      <c r="F18" s="1" t="s">
        <v>483</v>
      </c>
      <c r="G18" s="1" t="s">
        <v>484</v>
      </c>
      <c r="H18" s="134">
        <v>45770</v>
      </c>
      <c r="I18" s="134">
        <v>45810</v>
      </c>
      <c r="J18" s="1" t="s">
        <v>451</v>
      </c>
      <c r="K18" s="1">
        <v>71</v>
      </c>
      <c r="L18" s="1" t="s">
        <v>80</v>
      </c>
      <c r="M18" s="1" t="s">
        <v>118</v>
      </c>
      <c r="N18" s="1" t="s">
        <v>379</v>
      </c>
      <c r="O18" s="1"/>
      <c r="P18" s="1"/>
      <c r="Q18" s="1"/>
      <c r="R18" s="1"/>
      <c r="S18" s="1"/>
      <c r="T18" s="1"/>
      <c r="U18" s="1"/>
      <c r="V18" s="1"/>
      <c r="W18" s="1"/>
      <c r="X18" s="1"/>
      <c r="Y18" s="1"/>
      <c r="Z18"/>
    </row>
    <row r="19" spans="1:26" s="21" customFormat="1" hidden="1" x14ac:dyDescent="0.25">
      <c r="A19" s="1" t="s">
        <v>374</v>
      </c>
      <c r="B19" s="1"/>
      <c r="C19" s="1" t="s">
        <v>489</v>
      </c>
      <c r="D19" s="1" t="s">
        <v>83</v>
      </c>
      <c r="E19" s="1" t="s">
        <v>84</v>
      </c>
      <c r="F19" s="1" t="s">
        <v>490</v>
      </c>
      <c r="G19" s="1" t="s">
        <v>486</v>
      </c>
      <c r="H19" s="134">
        <v>45782</v>
      </c>
      <c r="I19" s="134">
        <v>45782</v>
      </c>
      <c r="J19" s="1" t="s">
        <v>487</v>
      </c>
      <c r="K19" s="1">
        <v>0</v>
      </c>
      <c r="L19" s="1" t="s">
        <v>80</v>
      </c>
      <c r="M19" s="1" t="s">
        <v>118</v>
      </c>
      <c r="N19" s="1" t="s">
        <v>488</v>
      </c>
      <c r="O19" s="1"/>
      <c r="P19" s="1"/>
      <c r="Q19" s="1"/>
      <c r="R19" s="1"/>
      <c r="S19" s="1"/>
      <c r="T19" s="1"/>
      <c r="U19" s="1"/>
      <c r="V19" s="1"/>
      <c r="W19" s="1"/>
      <c r="X19" s="1"/>
      <c r="Y19" s="1"/>
      <c r="Z19"/>
    </row>
    <row r="20" spans="1:26" hidden="1" x14ac:dyDescent="0.25">
      <c r="A20" s="1" t="s">
        <v>375</v>
      </c>
      <c r="B20" s="1"/>
      <c r="C20" s="1" t="s">
        <v>491</v>
      </c>
      <c r="D20" s="1" t="s">
        <v>83</v>
      </c>
      <c r="E20" s="1" t="s">
        <v>79</v>
      </c>
      <c r="F20" s="1" t="s">
        <v>492</v>
      </c>
      <c r="G20" s="1" t="s">
        <v>484</v>
      </c>
      <c r="H20" s="134">
        <v>45790</v>
      </c>
      <c r="I20" s="134">
        <v>45805</v>
      </c>
      <c r="J20" s="1" t="s">
        <v>451</v>
      </c>
      <c r="K20" s="1">
        <v>89</v>
      </c>
      <c r="L20" s="1" t="s">
        <v>80</v>
      </c>
      <c r="M20" s="1" t="s">
        <v>118</v>
      </c>
      <c r="N20" s="1" t="s">
        <v>379</v>
      </c>
      <c r="O20" s="1"/>
      <c r="P20" s="1"/>
      <c r="Q20" s="1"/>
      <c r="R20" s="1"/>
      <c r="S20" s="1"/>
      <c r="T20" s="1"/>
      <c r="U20" s="1"/>
      <c r="V20" s="1"/>
      <c r="W20" s="1"/>
      <c r="X20" s="1"/>
      <c r="Y20" s="1"/>
    </row>
    <row r="21" spans="1:26" s="21" customFormat="1" ht="171.6" hidden="1" x14ac:dyDescent="0.25">
      <c r="A21" s="1" t="s">
        <v>374</v>
      </c>
      <c r="B21" s="1"/>
      <c r="C21" s="1" t="s">
        <v>494</v>
      </c>
      <c r="D21" s="1" t="s">
        <v>83</v>
      </c>
      <c r="E21" s="1" t="s">
        <v>87</v>
      </c>
      <c r="F21" s="1" t="s">
        <v>495</v>
      </c>
      <c r="G21" s="1" t="s">
        <v>496</v>
      </c>
      <c r="H21" s="134">
        <v>45800</v>
      </c>
      <c r="I21" s="134">
        <v>45800</v>
      </c>
      <c r="J21" s="1" t="s">
        <v>487</v>
      </c>
      <c r="K21" s="1">
        <v>0</v>
      </c>
      <c r="L21" s="1" t="s">
        <v>80</v>
      </c>
      <c r="M21" s="1" t="s">
        <v>118</v>
      </c>
      <c r="N21" s="135" t="s">
        <v>497</v>
      </c>
      <c r="O21" s="1"/>
      <c r="P21" s="1"/>
      <c r="Q21" s="1"/>
      <c r="R21" s="1"/>
      <c r="S21" s="1"/>
      <c r="T21" s="1"/>
      <c r="U21" s="1"/>
      <c r="V21" s="1"/>
      <c r="W21" s="1"/>
      <c r="X21" s="1"/>
      <c r="Y21" s="1"/>
      <c r="Z21"/>
    </row>
    <row r="22" spans="1:26" s="21" customFormat="1" ht="171.6" hidden="1" x14ac:dyDescent="0.25">
      <c r="A22" s="1" t="s">
        <v>375</v>
      </c>
      <c r="B22" s="1" t="s">
        <v>381</v>
      </c>
      <c r="C22" s="1" t="s">
        <v>498</v>
      </c>
      <c r="D22" s="1" t="s">
        <v>83</v>
      </c>
      <c r="E22" s="1" t="s">
        <v>87</v>
      </c>
      <c r="F22" s="1" t="s">
        <v>495</v>
      </c>
      <c r="G22" s="1" t="s">
        <v>499</v>
      </c>
      <c r="H22" s="134">
        <v>45800</v>
      </c>
      <c r="I22" s="134">
        <v>45826</v>
      </c>
      <c r="J22" s="1" t="s">
        <v>445</v>
      </c>
      <c r="K22" s="1">
        <v>603</v>
      </c>
      <c r="L22" s="1" t="s">
        <v>80</v>
      </c>
      <c r="M22" s="1" t="s">
        <v>81</v>
      </c>
      <c r="N22" s="135" t="s">
        <v>497</v>
      </c>
      <c r="O22" s="1"/>
      <c r="P22" s="1"/>
      <c r="Q22" s="1"/>
      <c r="R22" s="1"/>
      <c r="S22" s="1"/>
      <c r="T22" s="1"/>
      <c r="U22" s="1"/>
      <c r="V22" s="1"/>
      <c r="W22" s="1"/>
      <c r="X22" s="1"/>
      <c r="Y22" s="1"/>
      <c r="Z22"/>
    </row>
    <row r="23" spans="1:26" hidden="1" x14ac:dyDescent="0.25">
      <c r="A23" s="1" t="s">
        <v>374</v>
      </c>
      <c r="B23" s="1"/>
      <c r="C23" s="1" t="s">
        <v>500</v>
      </c>
      <c r="D23" s="1" t="s">
        <v>83</v>
      </c>
      <c r="E23" s="1" t="s">
        <v>79</v>
      </c>
      <c r="F23" s="1" t="s">
        <v>501</v>
      </c>
      <c r="G23" s="1" t="s">
        <v>502</v>
      </c>
      <c r="H23" s="134">
        <v>45805</v>
      </c>
      <c r="I23" s="134">
        <v>45805</v>
      </c>
      <c r="J23" s="1" t="s">
        <v>451</v>
      </c>
      <c r="K23" s="1">
        <v>3</v>
      </c>
      <c r="L23" s="1" t="s">
        <v>80</v>
      </c>
      <c r="M23" s="1" t="s">
        <v>118</v>
      </c>
      <c r="N23" s="1" t="s">
        <v>503</v>
      </c>
      <c r="O23" s="1"/>
      <c r="P23" s="1"/>
      <c r="Q23" s="1"/>
      <c r="R23" s="1"/>
      <c r="S23" s="1"/>
      <c r="T23" s="1"/>
      <c r="U23" s="1"/>
      <c r="V23" s="1"/>
      <c r="W23" s="1"/>
      <c r="X23" s="1"/>
      <c r="Y23" s="1"/>
    </row>
    <row r="24" spans="1:26" s="21" customFormat="1" hidden="1" x14ac:dyDescent="0.25">
      <c r="A24" s="1" t="s">
        <v>375</v>
      </c>
      <c r="B24" s="1"/>
      <c r="C24" s="1" t="s">
        <v>504</v>
      </c>
      <c r="D24" s="1" t="s">
        <v>83</v>
      </c>
      <c r="E24" s="1" t="s">
        <v>79</v>
      </c>
      <c r="F24" s="1" t="s">
        <v>505</v>
      </c>
      <c r="G24" s="1" t="s">
        <v>484</v>
      </c>
      <c r="H24" s="134">
        <v>45807</v>
      </c>
      <c r="I24" s="134">
        <v>45825</v>
      </c>
      <c r="J24" s="1" t="s">
        <v>451</v>
      </c>
      <c r="K24" s="1">
        <v>0</v>
      </c>
      <c r="L24" s="1" t="s">
        <v>80</v>
      </c>
      <c r="M24" s="1" t="s">
        <v>118</v>
      </c>
      <c r="N24" s="1" t="s">
        <v>379</v>
      </c>
      <c r="O24" s="1"/>
      <c r="P24" s="1"/>
      <c r="Q24" s="1"/>
      <c r="R24" s="1"/>
      <c r="S24" s="1"/>
      <c r="T24" s="1"/>
      <c r="U24" s="1"/>
      <c r="V24" s="1"/>
      <c r="W24" s="1"/>
      <c r="X24" s="1"/>
      <c r="Y24" s="1"/>
      <c r="Z24"/>
    </row>
    <row r="25" spans="1:26" s="21" customFormat="1" hidden="1" x14ac:dyDescent="0.25">
      <c r="A25" s="1" t="s">
        <v>51</v>
      </c>
      <c r="B25" s="1" t="s">
        <v>82</v>
      </c>
      <c r="C25" s="1" t="s">
        <v>506</v>
      </c>
      <c r="D25" s="1" t="s">
        <v>434</v>
      </c>
      <c r="E25" s="1" t="s">
        <v>87</v>
      </c>
      <c r="F25" s="1" t="s">
        <v>507</v>
      </c>
      <c r="G25" s="1" t="s">
        <v>508</v>
      </c>
      <c r="H25" s="134">
        <v>45813</v>
      </c>
      <c r="I25" s="1"/>
      <c r="J25" s="1" t="s">
        <v>1242</v>
      </c>
      <c r="K25" s="1">
        <v>76</v>
      </c>
      <c r="L25" s="1" t="s">
        <v>80</v>
      </c>
      <c r="M25" s="1" t="s">
        <v>81</v>
      </c>
      <c r="N25" s="1" t="s">
        <v>510</v>
      </c>
      <c r="O25" s="1"/>
      <c r="P25" s="1"/>
      <c r="Q25" s="1"/>
      <c r="R25" s="1"/>
      <c r="S25" s="1"/>
      <c r="T25" s="1"/>
      <c r="U25" s="1"/>
      <c r="V25" s="1"/>
      <c r="W25" s="1"/>
      <c r="X25" s="1"/>
      <c r="Y25" s="1"/>
      <c r="Z25"/>
    </row>
    <row r="26" spans="1:26" s="21" customFormat="1" hidden="1" x14ac:dyDescent="0.25">
      <c r="A26" s="1" t="s">
        <v>374</v>
      </c>
      <c r="B26" s="1"/>
      <c r="C26" s="1" t="s">
        <v>511</v>
      </c>
      <c r="D26" s="1" t="s">
        <v>83</v>
      </c>
      <c r="E26" s="1" t="s">
        <v>87</v>
      </c>
      <c r="F26" s="1" t="s">
        <v>512</v>
      </c>
      <c r="G26" s="1" t="s">
        <v>513</v>
      </c>
      <c r="H26" s="134">
        <v>45813</v>
      </c>
      <c r="I26" s="134">
        <v>45814</v>
      </c>
      <c r="J26" s="1" t="s">
        <v>451</v>
      </c>
      <c r="K26" s="1">
        <v>30</v>
      </c>
      <c r="L26" s="1" t="s">
        <v>80</v>
      </c>
      <c r="M26" s="1" t="s">
        <v>118</v>
      </c>
      <c r="N26" s="1" t="s">
        <v>379</v>
      </c>
      <c r="O26" s="1"/>
      <c r="P26" s="1"/>
      <c r="Q26" s="1"/>
      <c r="R26" s="1"/>
      <c r="S26" s="1"/>
      <c r="T26" s="1"/>
      <c r="U26" s="1"/>
      <c r="V26" s="1"/>
      <c r="W26" s="1"/>
      <c r="X26" s="1"/>
      <c r="Y26" s="1"/>
      <c r="Z26"/>
    </row>
    <row r="27" spans="1:26" s="21" customFormat="1" hidden="1" x14ac:dyDescent="0.25">
      <c r="A27" s="1" t="s">
        <v>375</v>
      </c>
      <c r="B27" s="1" t="s">
        <v>381</v>
      </c>
      <c r="C27" s="1" t="s">
        <v>514</v>
      </c>
      <c r="D27" s="1" t="s">
        <v>83</v>
      </c>
      <c r="E27" s="1" t="s">
        <v>84</v>
      </c>
      <c r="F27" s="1" t="s">
        <v>490</v>
      </c>
      <c r="G27" s="1" t="s">
        <v>515</v>
      </c>
      <c r="H27" s="134">
        <v>45814</v>
      </c>
      <c r="I27" s="134">
        <v>45852</v>
      </c>
      <c r="J27" s="1" t="s">
        <v>445</v>
      </c>
      <c r="K27" s="1">
        <v>333</v>
      </c>
      <c r="L27" s="1" t="s">
        <v>80</v>
      </c>
      <c r="M27" s="1" t="s">
        <v>81</v>
      </c>
      <c r="N27" s="1" t="s">
        <v>488</v>
      </c>
      <c r="O27" s="1"/>
      <c r="P27" s="1"/>
      <c r="Q27" s="1"/>
      <c r="R27" s="1"/>
      <c r="S27" s="1"/>
      <c r="T27" s="1"/>
      <c r="U27" s="1"/>
      <c r="V27" s="1"/>
      <c r="W27" s="1"/>
      <c r="X27" s="1"/>
      <c r="Y27" s="1"/>
      <c r="Z27"/>
    </row>
    <row r="28" spans="1:26" s="21" customFormat="1" ht="184.8" hidden="1" x14ac:dyDescent="0.25">
      <c r="A28" s="1" t="s">
        <v>384</v>
      </c>
      <c r="B28" s="1" t="s">
        <v>516</v>
      </c>
      <c r="C28" s="1" t="s">
        <v>517</v>
      </c>
      <c r="D28" s="1" t="s">
        <v>83</v>
      </c>
      <c r="E28" s="1" t="s">
        <v>96</v>
      </c>
      <c r="F28" s="1" t="s">
        <v>518</v>
      </c>
      <c r="G28" s="1" t="s">
        <v>519</v>
      </c>
      <c r="H28" s="134">
        <v>45831</v>
      </c>
      <c r="I28" s="134">
        <v>45833</v>
      </c>
      <c r="J28" s="1" t="s">
        <v>520</v>
      </c>
      <c r="K28" s="1">
        <v>204</v>
      </c>
      <c r="L28" s="1" t="s">
        <v>521</v>
      </c>
      <c r="M28" s="1" t="s">
        <v>81</v>
      </c>
      <c r="N28" s="135" t="s">
        <v>522</v>
      </c>
      <c r="O28" s="1"/>
      <c r="P28" s="1"/>
      <c r="Q28" s="1"/>
      <c r="R28" s="1"/>
      <c r="S28" s="1"/>
      <c r="T28" s="1"/>
      <c r="U28" s="1"/>
      <c r="V28" s="1"/>
      <c r="W28" s="1"/>
      <c r="X28" s="1"/>
      <c r="Y28" s="1"/>
      <c r="Z28"/>
    </row>
    <row r="29" spans="1:26" s="21" customFormat="1" hidden="1" x14ac:dyDescent="0.25">
      <c r="A29" s="1" t="s">
        <v>375</v>
      </c>
      <c r="B29" s="1"/>
      <c r="C29" s="1" t="s">
        <v>523</v>
      </c>
      <c r="D29" s="1" t="s">
        <v>83</v>
      </c>
      <c r="E29" s="1" t="s">
        <v>79</v>
      </c>
      <c r="F29" s="1" t="s">
        <v>524</v>
      </c>
      <c r="G29" s="1" t="s">
        <v>475</v>
      </c>
      <c r="H29" s="134">
        <v>45831</v>
      </c>
      <c r="I29" s="134">
        <v>45831</v>
      </c>
      <c r="J29" s="1" t="s">
        <v>525</v>
      </c>
      <c r="K29" s="1">
        <v>1380</v>
      </c>
      <c r="L29" s="1" t="s">
        <v>80</v>
      </c>
      <c r="M29" s="1" t="s">
        <v>118</v>
      </c>
      <c r="N29" s="1" t="s">
        <v>379</v>
      </c>
      <c r="O29" s="1"/>
      <c r="P29" s="1"/>
      <c r="Q29" s="1"/>
      <c r="R29" s="1"/>
      <c r="S29" s="1"/>
      <c r="T29" s="1"/>
      <c r="U29" s="1"/>
      <c r="V29" s="1"/>
      <c r="W29" s="1"/>
      <c r="X29" s="1"/>
      <c r="Y29" s="1"/>
      <c r="Z29"/>
    </row>
    <row r="30" spans="1:26" s="21" customFormat="1" hidden="1" x14ac:dyDescent="0.25">
      <c r="A30" s="1" t="s">
        <v>51</v>
      </c>
      <c r="B30" s="1" t="s">
        <v>82</v>
      </c>
      <c r="C30" s="1" t="s">
        <v>528</v>
      </c>
      <c r="D30" s="1" t="s">
        <v>434</v>
      </c>
      <c r="E30" s="1" t="s">
        <v>79</v>
      </c>
      <c r="F30" s="1" t="s">
        <v>529</v>
      </c>
      <c r="G30" s="1" t="s">
        <v>371</v>
      </c>
      <c r="H30" s="134">
        <v>45835</v>
      </c>
      <c r="I30" s="1"/>
      <c r="J30" s="1" t="s">
        <v>990</v>
      </c>
      <c r="K30" s="1">
        <v>120</v>
      </c>
      <c r="L30" s="1" t="s">
        <v>80</v>
      </c>
      <c r="M30" s="1" t="s">
        <v>81</v>
      </c>
      <c r="N30" s="1" t="s">
        <v>370</v>
      </c>
      <c r="O30" s="1"/>
      <c r="P30" s="1"/>
      <c r="Q30" s="1"/>
      <c r="R30" s="1"/>
      <c r="S30" s="1"/>
      <c r="T30" s="1"/>
      <c r="U30" s="1"/>
      <c r="V30" s="1"/>
      <c r="W30" s="1"/>
      <c r="X30" s="1"/>
      <c r="Y30" s="1"/>
      <c r="Z30"/>
    </row>
    <row r="31" spans="1:26" s="21" customFormat="1" hidden="1" x14ac:dyDescent="0.25">
      <c r="A31" s="1" t="s">
        <v>51</v>
      </c>
      <c r="B31" s="1" t="s">
        <v>82</v>
      </c>
      <c r="C31" s="1" t="s">
        <v>1243</v>
      </c>
      <c r="D31" s="1" t="s">
        <v>83</v>
      </c>
      <c r="E31" s="1" t="s">
        <v>96</v>
      </c>
      <c r="F31" s="1" t="s">
        <v>1244</v>
      </c>
      <c r="G31" s="1" t="s">
        <v>89</v>
      </c>
      <c r="H31" s="134">
        <v>45841</v>
      </c>
      <c r="I31" s="134">
        <v>45842</v>
      </c>
      <c r="J31" s="1" t="s">
        <v>457</v>
      </c>
      <c r="K31" s="1">
        <v>196</v>
      </c>
      <c r="L31" s="1" t="s">
        <v>80</v>
      </c>
      <c r="M31" s="1" t="s">
        <v>81</v>
      </c>
      <c r="N31" s="1" t="s">
        <v>85</v>
      </c>
      <c r="O31" s="1"/>
      <c r="P31" s="1"/>
      <c r="Q31" s="1"/>
      <c r="R31" s="1"/>
      <c r="S31" s="1"/>
      <c r="T31" s="1"/>
      <c r="U31" s="1"/>
      <c r="V31" s="1"/>
      <c r="W31" s="1"/>
      <c r="X31" s="1"/>
      <c r="Y31" s="1"/>
      <c r="Z31"/>
    </row>
    <row r="32" spans="1:26" hidden="1" x14ac:dyDescent="0.25">
      <c r="A32" s="1" t="s">
        <v>51</v>
      </c>
      <c r="B32" s="1" t="s">
        <v>82</v>
      </c>
      <c r="C32" s="1" t="s">
        <v>531</v>
      </c>
      <c r="D32" s="1" t="s">
        <v>434</v>
      </c>
      <c r="E32" s="1" t="s">
        <v>79</v>
      </c>
      <c r="F32" s="1" t="s">
        <v>532</v>
      </c>
      <c r="G32" s="1" t="s">
        <v>526</v>
      </c>
      <c r="H32" s="134">
        <v>45845</v>
      </c>
      <c r="I32" s="134">
        <v>45848</v>
      </c>
      <c r="J32" s="1" t="s">
        <v>432</v>
      </c>
      <c r="K32" s="1">
        <v>134</v>
      </c>
      <c r="L32" s="1" t="s">
        <v>521</v>
      </c>
      <c r="M32" s="1" t="s">
        <v>81</v>
      </c>
      <c r="N32" s="1" t="s">
        <v>493</v>
      </c>
      <c r="O32" s="1"/>
      <c r="P32" s="1"/>
      <c r="Q32" s="1"/>
      <c r="R32" s="1"/>
      <c r="S32" s="1"/>
      <c r="T32" s="1"/>
      <c r="U32" s="1"/>
      <c r="V32" s="1"/>
      <c r="W32" s="1"/>
      <c r="X32" s="1"/>
      <c r="Y32" s="1"/>
    </row>
    <row r="33" spans="1:26" s="21" customFormat="1" hidden="1" x14ac:dyDescent="0.25">
      <c r="A33" s="1" t="s">
        <v>51</v>
      </c>
      <c r="B33" s="1" t="s">
        <v>82</v>
      </c>
      <c r="C33" s="1" t="s">
        <v>533</v>
      </c>
      <c r="D33" s="1" t="s">
        <v>434</v>
      </c>
      <c r="E33" s="1" t="s">
        <v>79</v>
      </c>
      <c r="F33" s="1" t="s">
        <v>534</v>
      </c>
      <c r="G33" s="1" t="s">
        <v>526</v>
      </c>
      <c r="H33" s="134">
        <v>45845</v>
      </c>
      <c r="I33" s="134">
        <v>45848</v>
      </c>
      <c r="J33" s="1" t="s">
        <v>990</v>
      </c>
      <c r="K33" s="1">
        <v>134</v>
      </c>
      <c r="L33" s="1" t="s">
        <v>80</v>
      </c>
      <c r="M33" s="1" t="s">
        <v>81</v>
      </c>
      <c r="N33" s="1" t="s">
        <v>493</v>
      </c>
      <c r="O33" s="1"/>
      <c r="P33" s="1"/>
      <c r="Q33" s="1"/>
      <c r="R33" s="1"/>
      <c r="S33" s="1"/>
      <c r="T33" s="1"/>
      <c r="U33" s="1"/>
      <c r="V33" s="1"/>
      <c r="W33" s="1"/>
      <c r="X33" s="1"/>
      <c r="Y33" s="1"/>
      <c r="Z33"/>
    </row>
    <row r="34" spans="1:26" hidden="1" x14ac:dyDescent="0.25">
      <c r="A34" s="1" t="s">
        <v>375</v>
      </c>
      <c r="B34" s="1" t="s">
        <v>535</v>
      </c>
      <c r="C34" s="1" t="s">
        <v>536</v>
      </c>
      <c r="D34" s="1" t="s">
        <v>83</v>
      </c>
      <c r="E34" s="1" t="s">
        <v>87</v>
      </c>
      <c r="F34" s="1" t="s">
        <v>524</v>
      </c>
      <c r="G34" s="1" t="s">
        <v>537</v>
      </c>
      <c r="H34" s="134">
        <v>45848</v>
      </c>
      <c r="I34" s="1"/>
      <c r="J34" s="1" t="s">
        <v>445</v>
      </c>
      <c r="K34" s="1">
        <v>818</v>
      </c>
      <c r="L34" s="1" t="s">
        <v>80</v>
      </c>
      <c r="M34" s="1" t="s">
        <v>81</v>
      </c>
      <c r="N34" s="1" t="s">
        <v>379</v>
      </c>
      <c r="O34" s="1"/>
      <c r="P34" s="1"/>
      <c r="Q34" s="1"/>
      <c r="R34" s="1"/>
      <c r="S34" s="1"/>
      <c r="T34" s="1"/>
      <c r="U34" s="1"/>
      <c r="V34" s="1"/>
      <c r="W34" s="1"/>
      <c r="X34" s="1"/>
      <c r="Y34" s="1"/>
    </row>
    <row r="35" spans="1:26" s="21" customFormat="1" hidden="1" x14ac:dyDescent="0.25">
      <c r="A35" s="1" t="s">
        <v>375</v>
      </c>
      <c r="B35" s="1" t="s">
        <v>535</v>
      </c>
      <c r="C35" s="1" t="s">
        <v>538</v>
      </c>
      <c r="D35" s="1" t="s">
        <v>83</v>
      </c>
      <c r="E35" s="1" t="s">
        <v>79</v>
      </c>
      <c r="F35" s="1" t="s">
        <v>539</v>
      </c>
      <c r="G35" s="1" t="s">
        <v>537</v>
      </c>
      <c r="H35" s="134">
        <v>45848</v>
      </c>
      <c r="I35" s="1"/>
      <c r="J35" s="1" t="s">
        <v>540</v>
      </c>
      <c r="K35" s="1">
        <v>93</v>
      </c>
      <c r="L35" s="1" t="s">
        <v>80</v>
      </c>
      <c r="M35" s="1" t="s">
        <v>81</v>
      </c>
      <c r="N35" s="1" t="s">
        <v>503</v>
      </c>
      <c r="O35" s="1"/>
      <c r="P35" s="1"/>
      <c r="Q35" s="1"/>
      <c r="R35" s="1"/>
      <c r="S35" s="1"/>
      <c r="T35" s="1"/>
      <c r="U35" s="1"/>
      <c r="V35" s="1"/>
      <c r="W35" s="1"/>
      <c r="X35" s="1"/>
      <c r="Y35" s="1"/>
      <c r="Z35"/>
    </row>
    <row r="36" spans="1:26" s="21" customFormat="1" hidden="1" x14ac:dyDescent="0.25">
      <c r="A36" s="1" t="s">
        <v>51</v>
      </c>
      <c r="B36" s="1" t="s">
        <v>82</v>
      </c>
      <c r="C36" s="1" t="s">
        <v>541</v>
      </c>
      <c r="D36" s="1" t="s">
        <v>83</v>
      </c>
      <c r="E36" s="1" t="s">
        <v>96</v>
      </c>
      <c r="F36" s="1" t="s">
        <v>542</v>
      </c>
      <c r="G36" s="1" t="s">
        <v>89</v>
      </c>
      <c r="H36" s="134">
        <v>45849</v>
      </c>
      <c r="I36" s="1"/>
      <c r="J36" s="1" t="s">
        <v>543</v>
      </c>
      <c r="K36" s="1">
        <v>57</v>
      </c>
      <c r="L36" s="1" t="s">
        <v>80</v>
      </c>
      <c r="M36" s="1" t="s">
        <v>81</v>
      </c>
      <c r="N36" s="1" t="s">
        <v>85</v>
      </c>
      <c r="O36" s="1"/>
      <c r="P36" s="1"/>
      <c r="Q36" s="1"/>
      <c r="R36" s="1"/>
      <c r="S36" s="1"/>
      <c r="T36" s="1"/>
      <c r="U36" s="1"/>
      <c r="V36" s="1"/>
      <c r="W36" s="1"/>
      <c r="X36" s="1"/>
      <c r="Y36" s="1"/>
      <c r="Z36"/>
    </row>
    <row r="37" spans="1:26" s="21" customFormat="1" hidden="1" x14ac:dyDescent="0.25">
      <c r="A37" s="1" t="s">
        <v>51</v>
      </c>
      <c r="B37" s="1" t="s">
        <v>82</v>
      </c>
      <c r="C37" s="1" t="s">
        <v>544</v>
      </c>
      <c r="D37" s="1" t="s">
        <v>434</v>
      </c>
      <c r="E37" s="1" t="s">
        <v>84</v>
      </c>
      <c r="F37" s="1" t="s">
        <v>545</v>
      </c>
      <c r="G37" s="1" t="s">
        <v>526</v>
      </c>
      <c r="H37" s="134">
        <v>45854</v>
      </c>
      <c r="I37" s="1"/>
      <c r="J37" s="1" t="s">
        <v>432</v>
      </c>
      <c r="K37" s="1">
        <v>80</v>
      </c>
      <c r="L37" s="1" t="s">
        <v>80</v>
      </c>
      <c r="M37" s="1" t="s">
        <v>81</v>
      </c>
      <c r="N37" s="1" t="s">
        <v>546</v>
      </c>
      <c r="O37" s="1"/>
      <c r="P37" s="1"/>
      <c r="Q37" s="1"/>
      <c r="R37" s="1"/>
      <c r="S37" s="1"/>
      <c r="T37" s="1"/>
      <c r="U37" s="1"/>
      <c r="V37" s="1"/>
      <c r="W37" s="1"/>
      <c r="X37" s="1"/>
      <c r="Y37" s="1"/>
      <c r="Z37"/>
    </row>
    <row r="38" spans="1:26" s="21" customFormat="1" hidden="1" x14ac:dyDescent="0.25">
      <c r="A38" s="1" t="s">
        <v>51</v>
      </c>
      <c r="B38" s="1" t="s">
        <v>82</v>
      </c>
      <c r="C38" s="1" t="s">
        <v>547</v>
      </c>
      <c r="D38" s="1" t="s">
        <v>434</v>
      </c>
      <c r="E38" s="1" t="s">
        <v>84</v>
      </c>
      <c r="F38" s="1" t="s">
        <v>548</v>
      </c>
      <c r="G38" s="1" t="s">
        <v>526</v>
      </c>
      <c r="H38" s="134">
        <v>45854</v>
      </c>
      <c r="I38" s="1"/>
      <c r="J38" s="1" t="s">
        <v>990</v>
      </c>
      <c r="K38" s="1">
        <v>113</v>
      </c>
      <c r="L38" s="1" t="s">
        <v>80</v>
      </c>
      <c r="M38" s="1" t="s">
        <v>81</v>
      </c>
      <c r="N38" s="1" t="s">
        <v>546</v>
      </c>
      <c r="O38" s="1"/>
      <c r="P38" s="1"/>
      <c r="Q38" s="1"/>
      <c r="R38" s="1"/>
      <c r="S38" s="1"/>
      <c r="T38" s="1"/>
      <c r="U38" s="1"/>
      <c r="V38" s="1"/>
      <c r="W38" s="1"/>
      <c r="X38" s="1"/>
      <c r="Y38" s="1"/>
      <c r="Z38"/>
    </row>
    <row r="39" spans="1:26" s="21" customFormat="1" hidden="1" x14ac:dyDescent="0.25">
      <c r="A39" s="1" t="s">
        <v>51</v>
      </c>
      <c r="B39" s="1" t="s">
        <v>82</v>
      </c>
      <c r="C39" s="1" t="s">
        <v>549</v>
      </c>
      <c r="D39" s="1" t="s">
        <v>434</v>
      </c>
      <c r="E39" s="1" t="s">
        <v>84</v>
      </c>
      <c r="F39" s="1" t="s">
        <v>550</v>
      </c>
      <c r="G39" s="1" t="s">
        <v>526</v>
      </c>
      <c r="H39" s="134">
        <v>45854</v>
      </c>
      <c r="I39" s="1"/>
      <c r="J39" s="1" t="s">
        <v>457</v>
      </c>
      <c r="K39" s="1">
        <v>77</v>
      </c>
      <c r="L39" s="1" t="s">
        <v>80</v>
      </c>
      <c r="M39" s="1" t="s">
        <v>81</v>
      </c>
      <c r="N39" s="1" t="s">
        <v>914</v>
      </c>
      <c r="O39" s="1"/>
      <c r="P39" s="1"/>
      <c r="Q39" s="1"/>
      <c r="R39" s="1"/>
      <c r="S39" s="1"/>
      <c r="T39" s="1"/>
      <c r="U39" s="1"/>
      <c r="V39" s="1"/>
      <c r="W39" s="1"/>
      <c r="X39" s="1"/>
      <c r="Y39" s="1"/>
      <c r="Z39"/>
    </row>
    <row r="40" spans="1:26" s="21" customFormat="1" ht="132" hidden="1" x14ac:dyDescent="0.25">
      <c r="A40" s="1" t="s">
        <v>375</v>
      </c>
      <c r="B40" s="1"/>
      <c r="C40" s="1" t="s">
        <v>551</v>
      </c>
      <c r="D40" s="1" t="s">
        <v>83</v>
      </c>
      <c r="E40" s="1" t="s">
        <v>98</v>
      </c>
      <c r="F40" s="1" t="s">
        <v>552</v>
      </c>
      <c r="G40" s="1" t="s">
        <v>553</v>
      </c>
      <c r="H40" s="134">
        <v>45854</v>
      </c>
      <c r="I40" s="134">
        <v>45887</v>
      </c>
      <c r="J40" s="1" t="s">
        <v>445</v>
      </c>
      <c r="K40" s="1">
        <v>0</v>
      </c>
      <c r="L40" s="1"/>
      <c r="M40" s="1" t="s">
        <v>118</v>
      </c>
      <c r="N40" s="135" t="s">
        <v>554</v>
      </c>
      <c r="O40" s="1"/>
      <c r="P40" s="1"/>
      <c r="Q40" s="1"/>
      <c r="R40" s="1"/>
      <c r="S40" s="1"/>
      <c r="T40" s="1"/>
      <c r="U40" s="1"/>
      <c r="V40" s="1"/>
      <c r="W40" s="1"/>
      <c r="X40" s="1"/>
      <c r="Y40" s="1"/>
      <c r="Z40"/>
    </row>
    <row r="41" spans="1:26" s="21" customFormat="1" hidden="1" x14ac:dyDescent="0.25">
      <c r="A41" s="1" t="s">
        <v>374</v>
      </c>
      <c r="B41" s="1"/>
      <c r="C41" s="1" t="s">
        <v>555</v>
      </c>
      <c r="D41" s="1" t="s">
        <v>83</v>
      </c>
      <c r="E41" s="1" t="s">
        <v>79</v>
      </c>
      <c r="F41" s="1" t="s">
        <v>556</v>
      </c>
      <c r="G41" s="1" t="s">
        <v>484</v>
      </c>
      <c r="H41" s="134">
        <v>45856</v>
      </c>
      <c r="I41" s="134">
        <v>45937</v>
      </c>
      <c r="J41" s="1" t="s">
        <v>525</v>
      </c>
      <c r="K41" s="1">
        <v>0</v>
      </c>
      <c r="L41" s="1" t="s">
        <v>80</v>
      </c>
      <c r="M41" s="1" t="s">
        <v>118</v>
      </c>
      <c r="N41" s="1" t="s">
        <v>379</v>
      </c>
      <c r="O41" s="1"/>
      <c r="P41" s="1"/>
      <c r="Q41" s="1"/>
      <c r="R41" s="1"/>
      <c r="S41" s="1"/>
      <c r="T41" s="1"/>
      <c r="U41" s="1"/>
      <c r="V41" s="1"/>
      <c r="W41" s="1"/>
      <c r="X41" s="1"/>
      <c r="Y41" s="1"/>
      <c r="Z41"/>
    </row>
    <row r="42" spans="1:26" s="21" customFormat="1" ht="52.8" hidden="1" x14ac:dyDescent="0.25">
      <c r="A42" s="1" t="s">
        <v>378</v>
      </c>
      <c r="B42" s="1" t="s">
        <v>82</v>
      </c>
      <c r="C42" s="1" t="s">
        <v>557</v>
      </c>
      <c r="D42" s="1" t="s">
        <v>83</v>
      </c>
      <c r="E42" s="1" t="s">
        <v>79</v>
      </c>
      <c r="F42" s="1" t="s">
        <v>558</v>
      </c>
      <c r="G42" s="1" t="s">
        <v>559</v>
      </c>
      <c r="H42" s="134">
        <v>45859</v>
      </c>
      <c r="I42" s="134">
        <v>45859</v>
      </c>
      <c r="J42" s="1" t="s">
        <v>480</v>
      </c>
      <c r="K42" s="1">
        <v>208</v>
      </c>
      <c r="L42" s="1" t="s">
        <v>80</v>
      </c>
      <c r="M42" s="1" t="s">
        <v>81</v>
      </c>
      <c r="N42" s="135" t="s">
        <v>560</v>
      </c>
      <c r="O42" s="1"/>
      <c r="P42" s="1"/>
      <c r="Q42" s="1"/>
      <c r="R42" s="1"/>
      <c r="S42" s="1"/>
      <c r="T42" s="1"/>
      <c r="U42" s="1"/>
      <c r="V42" s="1"/>
      <c r="W42" s="1"/>
      <c r="X42" s="1"/>
      <c r="Y42" s="1"/>
      <c r="Z42"/>
    </row>
    <row r="43" spans="1:26" s="21" customFormat="1" hidden="1" x14ac:dyDescent="0.25">
      <c r="A43" s="1" t="s">
        <v>51</v>
      </c>
      <c r="B43" s="1" t="s">
        <v>82</v>
      </c>
      <c r="C43" s="1" t="s">
        <v>562</v>
      </c>
      <c r="D43" s="1" t="s">
        <v>83</v>
      </c>
      <c r="E43" s="1" t="s">
        <v>79</v>
      </c>
      <c r="F43" s="1" t="s">
        <v>563</v>
      </c>
      <c r="G43" s="1" t="s">
        <v>88</v>
      </c>
      <c r="H43" s="134">
        <v>45861</v>
      </c>
      <c r="I43" s="1"/>
      <c r="J43" s="1" t="s">
        <v>990</v>
      </c>
      <c r="K43" s="1">
        <v>52</v>
      </c>
      <c r="L43" s="1" t="s">
        <v>80</v>
      </c>
      <c r="M43" s="1" t="s">
        <v>81</v>
      </c>
      <c r="N43" s="1" t="s">
        <v>85</v>
      </c>
      <c r="O43" s="1"/>
      <c r="P43" s="1"/>
      <c r="Q43" s="1"/>
      <c r="R43" s="1"/>
      <c r="S43" s="1"/>
      <c r="T43" s="1"/>
      <c r="U43" s="1"/>
      <c r="V43" s="1"/>
      <c r="W43" s="1"/>
      <c r="X43" s="1"/>
      <c r="Y43" s="1"/>
      <c r="Z43"/>
    </row>
    <row r="44" spans="1:26" s="21" customFormat="1" hidden="1" x14ac:dyDescent="0.25">
      <c r="A44" s="1" t="s">
        <v>51</v>
      </c>
      <c r="B44" s="1" t="s">
        <v>82</v>
      </c>
      <c r="C44" s="1" t="s">
        <v>565</v>
      </c>
      <c r="D44" s="1" t="s">
        <v>83</v>
      </c>
      <c r="E44" s="1" t="s">
        <v>79</v>
      </c>
      <c r="F44" s="1" t="s">
        <v>566</v>
      </c>
      <c r="G44" s="1" t="s">
        <v>526</v>
      </c>
      <c r="H44" s="134">
        <v>45868</v>
      </c>
      <c r="I44" s="1"/>
      <c r="J44" s="1" t="s">
        <v>457</v>
      </c>
      <c r="K44" s="1">
        <v>95</v>
      </c>
      <c r="L44" s="1" t="s">
        <v>80</v>
      </c>
      <c r="M44" s="1" t="s">
        <v>81</v>
      </c>
      <c r="N44" s="1" t="s">
        <v>567</v>
      </c>
      <c r="O44" s="1"/>
      <c r="P44" s="1"/>
      <c r="Q44" s="1"/>
      <c r="R44" s="1"/>
      <c r="S44" s="1"/>
      <c r="T44" s="1"/>
      <c r="U44" s="1"/>
      <c r="V44" s="1"/>
      <c r="W44" s="1"/>
      <c r="X44" s="1"/>
      <c r="Y44" s="1"/>
      <c r="Z44"/>
    </row>
    <row r="45" spans="1:26" ht="92.4" hidden="1" x14ac:dyDescent="0.25">
      <c r="A45" s="1" t="s">
        <v>51</v>
      </c>
      <c r="B45" s="1" t="s">
        <v>82</v>
      </c>
      <c r="C45" s="1" t="s">
        <v>2108</v>
      </c>
      <c r="D45" s="1" t="s">
        <v>83</v>
      </c>
      <c r="E45" s="1" t="s">
        <v>79</v>
      </c>
      <c r="F45" s="1" t="s">
        <v>2109</v>
      </c>
      <c r="G45" s="1" t="s">
        <v>2110</v>
      </c>
      <c r="H45" s="134">
        <v>45874</v>
      </c>
      <c r="I45" s="134">
        <v>45889</v>
      </c>
      <c r="J45" s="1" t="s">
        <v>2111</v>
      </c>
      <c r="K45" s="1">
        <v>19</v>
      </c>
      <c r="L45" s="1" t="s">
        <v>80</v>
      </c>
      <c r="M45" s="1" t="s">
        <v>81</v>
      </c>
      <c r="N45" s="135" t="s">
        <v>2112</v>
      </c>
      <c r="O45" s="1"/>
      <c r="P45" s="1"/>
      <c r="Q45" s="1"/>
      <c r="R45" s="1"/>
      <c r="S45" s="1"/>
      <c r="T45" s="1"/>
      <c r="U45" s="1"/>
      <c r="V45" s="1"/>
      <c r="W45" s="1"/>
      <c r="X45" s="1"/>
      <c r="Y45" s="1"/>
    </row>
    <row r="46" spans="1:26" s="21" customFormat="1" hidden="1" x14ac:dyDescent="0.25">
      <c r="A46" s="1" t="s">
        <v>375</v>
      </c>
      <c r="B46" s="1"/>
      <c r="C46" s="1" t="s">
        <v>568</v>
      </c>
      <c r="D46" s="1" t="s">
        <v>83</v>
      </c>
      <c r="E46" s="1" t="s">
        <v>84</v>
      </c>
      <c r="F46" s="1" t="s">
        <v>569</v>
      </c>
      <c r="G46" s="1" t="s">
        <v>570</v>
      </c>
      <c r="H46" s="134">
        <v>45876</v>
      </c>
      <c r="I46" s="134">
        <v>45879</v>
      </c>
      <c r="J46" s="1" t="s">
        <v>451</v>
      </c>
      <c r="K46" s="1">
        <v>861</v>
      </c>
      <c r="L46" s="1" t="s">
        <v>80</v>
      </c>
      <c r="M46" s="1" t="s">
        <v>118</v>
      </c>
      <c r="N46" s="1" t="s">
        <v>379</v>
      </c>
      <c r="O46" s="1"/>
      <c r="P46" s="1"/>
      <c r="Q46" s="1"/>
      <c r="R46" s="1"/>
      <c r="S46" s="1"/>
      <c r="T46" s="1"/>
      <c r="U46" s="1"/>
      <c r="V46" s="1"/>
      <c r="W46" s="1"/>
      <c r="X46" s="1"/>
      <c r="Y46" s="1"/>
      <c r="Z46"/>
    </row>
    <row r="47" spans="1:26" s="21" customFormat="1" hidden="1" x14ac:dyDescent="0.25">
      <c r="A47" s="1" t="s">
        <v>375</v>
      </c>
      <c r="B47" s="1" t="s">
        <v>535</v>
      </c>
      <c r="C47" s="1" t="s">
        <v>573</v>
      </c>
      <c r="D47" s="1" t="s">
        <v>83</v>
      </c>
      <c r="E47" s="1" t="s">
        <v>79</v>
      </c>
      <c r="F47" s="1" t="s">
        <v>569</v>
      </c>
      <c r="G47" s="1" t="s">
        <v>571</v>
      </c>
      <c r="H47" s="134">
        <v>45880</v>
      </c>
      <c r="I47" s="1"/>
      <c r="J47" s="1" t="s">
        <v>445</v>
      </c>
      <c r="K47" s="1">
        <v>833</v>
      </c>
      <c r="L47" s="1" t="s">
        <v>80</v>
      </c>
      <c r="M47" s="1" t="s">
        <v>81</v>
      </c>
      <c r="N47" s="1" t="s">
        <v>379</v>
      </c>
      <c r="O47" s="1"/>
      <c r="P47" s="1"/>
      <c r="Q47" s="1"/>
      <c r="R47" s="1"/>
      <c r="S47" s="1"/>
      <c r="T47" s="1"/>
      <c r="U47" s="1"/>
      <c r="V47" s="1"/>
      <c r="W47" s="1"/>
      <c r="X47" s="1"/>
      <c r="Y47" s="1"/>
      <c r="Z47"/>
    </row>
    <row r="48" spans="1:26" s="21" customFormat="1" hidden="1" x14ac:dyDescent="0.25">
      <c r="A48" s="1" t="s">
        <v>376</v>
      </c>
      <c r="B48" s="1"/>
      <c r="C48" s="1" t="s">
        <v>574</v>
      </c>
      <c r="D48" s="1" t="s">
        <v>83</v>
      </c>
      <c r="E48" s="1" t="s">
        <v>79</v>
      </c>
      <c r="F48" s="1" t="s">
        <v>575</v>
      </c>
      <c r="G48" s="1" t="s">
        <v>576</v>
      </c>
      <c r="H48" s="134">
        <v>45882</v>
      </c>
      <c r="I48" s="1"/>
      <c r="J48" s="1" t="s">
        <v>525</v>
      </c>
      <c r="K48" s="1">
        <v>0</v>
      </c>
      <c r="L48" s="1" t="s">
        <v>80</v>
      </c>
      <c r="M48" s="1" t="s">
        <v>118</v>
      </c>
      <c r="N48" s="1" t="s">
        <v>488</v>
      </c>
      <c r="O48" s="1"/>
      <c r="P48" s="1"/>
      <c r="Q48" s="1"/>
      <c r="R48" s="1"/>
      <c r="S48" s="1"/>
      <c r="T48" s="1"/>
      <c r="U48" s="1"/>
      <c r="V48" s="1"/>
      <c r="W48" s="1"/>
      <c r="X48" s="1"/>
      <c r="Y48" s="1"/>
      <c r="Z48"/>
    </row>
    <row r="49" spans="1:26" s="21" customFormat="1" ht="26.4" x14ac:dyDescent="0.25">
      <c r="A49" s="138" t="s">
        <v>51</v>
      </c>
      <c r="B49" s="138" t="s">
        <v>82</v>
      </c>
      <c r="C49" s="138" t="s">
        <v>579</v>
      </c>
      <c r="D49" s="138" t="s">
        <v>83</v>
      </c>
      <c r="E49" s="138" t="s">
        <v>98</v>
      </c>
      <c r="F49" s="138" t="s">
        <v>2113</v>
      </c>
      <c r="G49" s="138" t="s">
        <v>526</v>
      </c>
      <c r="H49" s="139">
        <v>45887</v>
      </c>
      <c r="I49" s="138"/>
      <c r="J49" s="138" t="s">
        <v>543</v>
      </c>
      <c r="K49" s="138">
        <v>41</v>
      </c>
      <c r="L49" s="138" t="s">
        <v>80</v>
      </c>
      <c r="M49" s="138" t="s">
        <v>81</v>
      </c>
      <c r="N49" s="138" t="s">
        <v>85</v>
      </c>
      <c r="O49" s="138"/>
      <c r="P49" s="138"/>
      <c r="Q49" s="138"/>
      <c r="R49" s="138"/>
      <c r="S49" s="138"/>
      <c r="T49" s="138"/>
      <c r="U49" s="138"/>
      <c r="V49" s="138"/>
      <c r="W49" s="138"/>
      <c r="X49" s="138"/>
      <c r="Y49" s="140" t="s">
        <v>625</v>
      </c>
      <c r="Z49"/>
    </row>
    <row r="50" spans="1:26" s="21" customFormat="1" hidden="1" x14ac:dyDescent="0.25">
      <c r="A50" s="1" t="s">
        <v>375</v>
      </c>
      <c r="B50" s="1"/>
      <c r="C50" s="1" t="s">
        <v>580</v>
      </c>
      <c r="D50" s="1" t="s">
        <v>83</v>
      </c>
      <c r="E50" s="1" t="s">
        <v>98</v>
      </c>
      <c r="F50" s="1" t="s">
        <v>581</v>
      </c>
      <c r="G50" s="1" t="s">
        <v>582</v>
      </c>
      <c r="H50" s="134">
        <v>45888</v>
      </c>
      <c r="I50" s="134">
        <v>45915</v>
      </c>
      <c r="J50" s="1" t="s">
        <v>525</v>
      </c>
      <c r="K50" s="1">
        <v>0</v>
      </c>
      <c r="L50" s="1"/>
      <c r="M50" s="1" t="s">
        <v>118</v>
      </c>
      <c r="N50" s="1" t="s">
        <v>583</v>
      </c>
      <c r="O50" s="1"/>
      <c r="P50" s="1"/>
      <c r="Q50" s="1"/>
      <c r="R50" s="1"/>
      <c r="S50" s="1"/>
      <c r="T50" s="1"/>
      <c r="U50" s="1"/>
      <c r="V50" s="1"/>
      <c r="W50" s="1"/>
      <c r="X50" s="1"/>
      <c r="Y50" s="1"/>
      <c r="Z50"/>
    </row>
    <row r="51" spans="1:26" s="21" customFormat="1" ht="132" hidden="1" x14ac:dyDescent="0.25">
      <c r="A51" s="1" t="s">
        <v>375</v>
      </c>
      <c r="B51" s="1"/>
      <c r="C51" s="1" t="s">
        <v>588</v>
      </c>
      <c r="D51" s="1" t="s">
        <v>83</v>
      </c>
      <c r="E51" s="1" t="s">
        <v>79</v>
      </c>
      <c r="F51" s="1" t="s">
        <v>539</v>
      </c>
      <c r="G51" s="1" t="s">
        <v>502</v>
      </c>
      <c r="H51" s="134">
        <v>45894</v>
      </c>
      <c r="I51" s="134">
        <v>45896</v>
      </c>
      <c r="J51" s="1" t="s">
        <v>525</v>
      </c>
      <c r="K51" s="1">
        <v>87</v>
      </c>
      <c r="L51" s="1" t="s">
        <v>80</v>
      </c>
      <c r="M51" s="1" t="s">
        <v>118</v>
      </c>
      <c r="N51" s="135" t="s">
        <v>554</v>
      </c>
      <c r="O51" s="1"/>
      <c r="P51" s="1"/>
      <c r="Q51" s="1"/>
      <c r="R51" s="1"/>
      <c r="S51" s="1"/>
      <c r="T51" s="1"/>
      <c r="U51" s="1"/>
      <c r="V51" s="1"/>
      <c r="W51" s="1"/>
      <c r="X51" s="1"/>
      <c r="Y51" s="1"/>
      <c r="Z51"/>
    </row>
    <row r="52" spans="1:26" s="21" customFormat="1" hidden="1" x14ac:dyDescent="0.25">
      <c r="A52" s="1" t="s">
        <v>376</v>
      </c>
      <c r="B52" s="1"/>
      <c r="C52" s="1" t="s">
        <v>589</v>
      </c>
      <c r="D52" s="1" t="s">
        <v>83</v>
      </c>
      <c r="E52" s="1" t="s">
        <v>79</v>
      </c>
      <c r="F52" s="1" t="s">
        <v>590</v>
      </c>
      <c r="G52" s="1" t="s">
        <v>591</v>
      </c>
      <c r="H52" s="134">
        <v>45895</v>
      </c>
      <c r="I52" s="1"/>
      <c r="J52" s="1" t="s">
        <v>525</v>
      </c>
      <c r="K52" s="1">
        <v>127</v>
      </c>
      <c r="L52" s="1" t="s">
        <v>80</v>
      </c>
      <c r="M52" s="1" t="s">
        <v>118</v>
      </c>
      <c r="N52" s="1" t="s">
        <v>488</v>
      </c>
      <c r="O52" s="1"/>
      <c r="P52" s="1"/>
      <c r="Q52" s="1"/>
      <c r="R52" s="1"/>
      <c r="S52" s="1"/>
      <c r="T52" s="1"/>
      <c r="U52" s="1"/>
      <c r="V52" s="1"/>
      <c r="W52" s="1"/>
      <c r="X52" s="1"/>
      <c r="Y52" s="1"/>
      <c r="Z52"/>
    </row>
    <row r="53" spans="1:26" s="21" customFormat="1" hidden="1" x14ac:dyDescent="0.25">
      <c r="A53" s="1" t="s">
        <v>374</v>
      </c>
      <c r="B53" s="1"/>
      <c r="C53" s="1" t="s">
        <v>592</v>
      </c>
      <c r="D53" s="1" t="s">
        <v>83</v>
      </c>
      <c r="E53" s="1" t="s">
        <v>79</v>
      </c>
      <c r="F53" s="1" t="s">
        <v>593</v>
      </c>
      <c r="G53" s="1" t="s">
        <v>484</v>
      </c>
      <c r="H53" s="134">
        <v>45895</v>
      </c>
      <c r="I53" s="134">
        <v>45895</v>
      </c>
      <c r="J53" s="1" t="s">
        <v>525</v>
      </c>
      <c r="K53" s="1">
        <v>924</v>
      </c>
      <c r="L53" s="1" t="s">
        <v>80</v>
      </c>
      <c r="M53" s="1" t="s">
        <v>118</v>
      </c>
      <c r="N53" s="1" t="s">
        <v>379</v>
      </c>
      <c r="O53" s="1"/>
      <c r="P53" s="1"/>
      <c r="Q53" s="1"/>
      <c r="R53" s="1"/>
      <c r="S53" s="1"/>
      <c r="T53" s="1"/>
      <c r="U53" s="1"/>
      <c r="V53" s="1"/>
      <c r="W53" s="1"/>
      <c r="X53" s="1"/>
      <c r="Y53" s="1"/>
      <c r="Z53"/>
    </row>
    <row r="54" spans="1:26" s="21" customFormat="1" hidden="1" x14ac:dyDescent="0.25">
      <c r="A54" s="1" t="s">
        <v>51</v>
      </c>
      <c r="B54" s="1"/>
      <c r="C54" s="1" t="s">
        <v>594</v>
      </c>
      <c r="D54" s="1" t="s">
        <v>434</v>
      </c>
      <c r="E54" s="1" t="s">
        <v>96</v>
      </c>
      <c r="F54" s="1" t="s">
        <v>595</v>
      </c>
      <c r="G54" s="1" t="s">
        <v>596</v>
      </c>
      <c r="H54" s="134">
        <v>45898</v>
      </c>
      <c r="I54" s="1"/>
      <c r="J54" s="1" t="s">
        <v>443</v>
      </c>
      <c r="K54" s="1">
        <v>0</v>
      </c>
      <c r="L54" s="1"/>
      <c r="M54" s="1" t="s">
        <v>81</v>
      </c>
      <c r="N54" s="1"/>
      <c r="O54" s="1"/>
      <c r="P54" s="1"/>
      <c r="Q54" s="1"/>
      <c r="R54" s="1"/>
      <c r="S54" s="1"/>
      <c r="T54" s="1"/>
      <c r="U54" s="1"/>
      <c r="V54" s="1"/>
      <c r="W54" s="1"/>
      <c r="X54" s="1"/>
      <c r="Y54" s="1"/>
      <c r="Z54"/>
    </row>
    <row r="55" spans="1:26" s="21" customFormat="1" hidden="1" x14ac:dyDescent="0.25">
      <c r="A55" s="1" t="s">
        <v>375</v>
      </c>
      <c r="B55" s="1"/>
      <c r="C55" s="1" t="s">
        <v>598</v>
      </c>
      <c r="D55" s="1" t="s">
        <v>83</v>
      </c>
      <c r="E55" s="1" t="s">
        <v>79</v>
      </c>
      <c r="F55" s="1" t="s">
        <v>599</v>
      </c>
      <c r="G55" s="1" t="s">
        <v>570</v>
      </c>
      <c r="H55" s="134">
        <v>45915</v>
      </c>
      <c r="I55" s="134">
        <v>45915</v>
      </c>
      <c r="J55" s="1" t="s">
        <v>451</v>
      </c>
      <c r="K55" s="1">
        <v>138</v>
      </c>
      <c r="L55" s="1" t="s">
        <v>80</v>
      </c>
      <c r="M55" s="1" t="s">
        <v>118</v>
      </c>
      <c r="N55" s="1" t="s">
        <v>379</v>
      </c>
      <c r="O55" s="1"/>
      <c r="P55" s="1"/>
      <c r="Q55" s="1"/>
      <c r="R55" s="1"/>
      <c r="S55" s="1"/>
      <c r="T55" s="1"/>
      <c r="U55" s="1"/>
      <c r="V55" s="1"/>
      <c r="W55" s="1"/>
      <c r="X55" s="1"/>
      <c r="Y55" s="1"/>
      <c r="Z55"/>
    </row>
    <row r="56" spans="1:26" s="21" customFormat="1" hidden="1" x14ac:dyDescent="0.25">
      <c r="A56" s="1" t="s">
        <v>376</v>
      </c>
      <c r="B56" s="1"/>
      <c r="C56" s="1" t="s">
        <v>600</v>
      </c>
      <c r="D56" s="1" t="s">
        <v>83</v>
      </c>
      <c r="E56" s="1" t="s">
        <v>79</v>
      </c>
      <c r="F56" s="1" t="s">
        <v>601</v>
      </c>
      <c r="G56" s="1" t="s">
        <v>602</v>
      </c>
      <c r="H56" s="134">
        <v>45915</v>
      </c>
      <c r="I56" s="134">
        <v>45915</v>
      </c>
      <c r="J56" s="1" t="s">
        <v>525</v>
      </c>
      <c r="K56" s="1">
        <v>80</v>
      </c>
      <c r="L56" s="1" t="s">
        <v>80</v>
      </c>
      <c r="M56" s="1" t="s">
        <v>118</v>
      </c>
      <c r="N56" s="1" t="s">
        <v>488</v>
      </c>
      <c r="O56" s="1"/>
      <c r="P56" s="1"/>
      <c r="Q56" s="1"/>
      <c r="R56" s="1"/>
      <c r="S56" s="1"/>
      <c r="T56" s="1"/>
      <c r="U56" s="1"/>
      <c r="V56" s="1"/>
      <c r="W56" s="1"/>
      <c r="X56" s="1"/>
      <c r="Y56" s="1"/>
      <c r="Z56"/>
    </row>
    <row r="57" spans="1:26" s="21" customFormat="1" hidden="1" x14ac:dyDescent="0.25">
      <c r="A57" s="1" t="s">
        <v>375</v>
      </c>
      <c r="B57" s="1"/>
      <c r="C57" s="1" t="s">
        <v>603</v>
      </c>
      <c r="D57" s="1" t="s">
        <v>83</v>
      </c>
      <c r="E57" s="1" t="s">
        <v>98</v>
      </c>
      <c r="F57" s="1" t="s">
        <v>604</v>
      </c>
      <c r="G57" s="1" t="s">
        <v>576</v>
      </c>
      <c r="H57" s="134">
        <v>45916</v>
      </c>
      <c r="I57" s="134">
        <v>45917</v>
      </c>
      <c r="J57" s="1" t="s">
        <v>525</v>
      </c>
      <c r="K57" s="1">
        <v>0</v>
      </c>
      <c r="L57" s="1" t="s">
        <v>80</v>
      </c>
      <c r="M57" s="1" t="s">
        <v>118</v>
      </c>
      <c r="N57" s="1" t="s">
        <v>488</v>
      </c>
      <c r="O57" s="1"/>
      <c r="P57" s="1"/>
      <c r="Q57" s="1"/>
      <c r="R57" s="1"/>
      <c r="S57" s="1"/>
      <c r="T57" s="1"/>
      <c r="U57" s="1"/>
      <c r="V57" s="1"/>
      <c r="W57" s="1"/>
      <c r="X57" s="1"/>
      <c r="Y57" s="1"/>
      <c r="Z57"/>
    </row>
    <row r="58" spans="1:26" s="21" customFormat="1" hidden="1" x14ac:dyDescent="0.25">
      <c r="A58" s="1" t="s">
        <v>375</v>
      </c>
      <c r="B58" s="1"/>
      <c r="C58" s="1" t="s">
        <v>605</v>
      </c>
      <c r="D58" s="1" t="s">
        <v>83</v>
      </c>
      <c r="E58" s="1" t="s">
        <v>98</v>
      </c>
      <c r="F58" s="1" t="s">
        <v>606</v>
      </c>
      <c r="G58" s="1" t="s">
        <v>576</v>
      </c>
      <c r="H58" s="134">
        <v>45917</v>
      </c>
      <c r="I58" s="134">
        <v>45917</v>
      </c>
      <c r="J58" s="1" t="s">
        <v>525</v>
      </c>
      <c r="K58" s="1">
        <v>0</v>
      </c>
      <c r="L58" s="1"/>
      <c r="M58" s="1" t="s">
        <v>118</v>
      </c>
      <c r="N58" s="1" t="s">
        <v>488</v>
      </c>
      <c r="O58" s="1"/>
      <c r="P58" s="1"/>
      <c r="Q58" s="1"/>
      <c r="R58" s="1"/>
      <c r="S58" s="1"/>
      <c r="T58" s="1"/>
      <c r="U58" s="1"/>
      <c r="V58" s="1"/>
      <c r="W58" s="1"/>
      <c r="X58" s="1"/>
      <c r="Y58" s="1"/>
      <c r="Z58"/>
    </row>
    <row r="59" spans="1:26" s="21" customFormat="1" hidden="1" x14ac:dyDescent="0.25">
      <c r="A59" s="1" t="s">
        <v>374</v>
      </c>
      <c r="B59" s="1"/>
      <c r="C59" s="1" t="s">
        <v>607</v>
      </c>
      <c r="D59" s="1" t="s">
        <v>83</v>
      </c>
      <c r="E59" s="1" t="s">
        <v>98</v>
      </c>
      <c r="F59" s="1" t="s">
        <v>608</v>
      </c>
      <c r="G59" s="1" t="s">
        <v>609</v>
      </c>
      <c r="H59" s="134">
        <v>45918</v>
      </c>
      <c r="I59" s="134">
        <v>45919</v>
      </c>
      <c r="J59" s="1" t="s">
        <v>525</v>
      </c>
      <c r="K59" s="1">
        <v>0</v>
      </c>
      <c r="L59" s="1"/>
      <c r="M59" s="1" t="s">
        <v>118</v>
      </c>
      <c r="N59" s="1" t="s">
        <v>379</v>
      </c>
      <c r="O59" s="1"/>
      <c r="P59" s="1"/>
      <c r="Q59" s="1"/>
      <c r="R59" s="1"/>
      <c r="S59" s="1"/>
      <c r="T59" s="1"/>
      <c r="U59" s="1"/>
      <c r="V59" s="1"/>
      <c r="W59" s="1"/>
      <c r="X59" s="1"/>
      <c r="Y59" s="1"/>
      <c r="Z59"/>
    </row>
    <row r="60" spans="1:26" s="21" customFormat="1" hidden="1" x14ac:dyDescent="0.25">
      <c r="A60" s="1" t="s">
        <v>375</v>
      </c>
      <c r="B60" s="1" t="s">
        <v>381</v>
      </c>
      <c r="C60" s="1" t="s">
        <v>610</v>
      </c>
      <c r="D60" s="1" t="s">
        <v>83</v>
      </c>
      <c r="E60" s="1" t="s">
        <v>87</v>
      </c>
      <c r="F60" s="1" t="s">
        <v>593</v>
      </c>
      <c r="G60" s="1" t="s">
        <v>585</v>
      </c>
      <c r="H60" s="134">
        <v>45919</v>
      </c>
      <c r="I60" s="134">
        <v>45922</v>
      </c>
      <c r="J60" s="1" t="s">
        <v>445</v>
      </c>
      <c r="K60" s="1">
        <v>1002</v>
      </c>
      <c r="L60" s="1" t="s">
        <v>80</v>
      </c>
      <c r="M60" s="1" t="s">
        <v>81</v>
      </c>
      <c r="N60" s="1" t="s">
        <v>379</v>
      </c>
      <c r="O60" s="1"/>
      <c r="P60" s="1"/>
      <c r="Q60" s="1"/>
      <c r="R60" s="1"/>
      <c r="S60" s="1"/>
      <c r="T60" s="1"/>
      <c r="U60" s="1"/>
      <c r="V60" s="1"/>
      <c r="W60" s="1"/>
      <c r="X60" s="1"/>
      <c r="Y60" s="1"/>
      <c r="Z60"/>
    </row>
    <row r="61" spans="1:26" ht="132" hidden="1" x14ac:dyDescent="0.25">
      <c r="A61" s="1" t="s">
        <v>375</v>
      </c>
      <c r="B61" s="1" t="s">
        <v>535</v>
      </c>
      <c r="C61" s="1" t="s">
        <v>611</v>
      </c>
      <c r="D61" s="1" t="s">
        <v>83</v>
      </c>
      <c r="E61" s="1" t="s">
        <v>79</v>
      </c>
      <c r="F61" s="1" t="s">
        <v>612</v>
      </c>
      <c r="G61" s="1" t="s">
        <v>613</v>
      </c>
      <c r="H61" s="134">
        <v>45919</v>
      </c>
      <c r="I61" s="1"/>
      <c r="J61" s="1" t="s">
        <v>445</v>
      </c>
      <c r="K61" s="1">
        <v>59</v>
      </c>
      <c r="L61" s="1" t="s">
        <v>80</v>
      </c>
      <c r="M61" s="1" t="s">
        <v>81</v>
      </c>
      <c r="N61" s="135" t="s">
        <v>554</v>
      </c>
      <c r="O61" s="1"/>
      <c r="P61" s="1"/>
      <c r="Q61" s="1"/>
      <c r="R61" s="1"/>
      <c r="S61" s="1"/>
      <c r="T61" s="1"/>
      <c r="U61" s="1"/>
      <c r="V61" s="1"/>
      <c r="W61" s="1"/>
      <c r="X61" s="1"/>
      <c r="Y61" s="1"/>
    </row>
    <row r="62" spans="1:26" s="21" customFormat="1" hidden="1" x14ac:dyDescent="0.25">
      <c r="A62" s="1" t="s">
        <v>374</v>
      </c>
      <c r="B62" s="1"/>
      <c r="C62" s="1" t="s">
        <v>614</v>
      </c>
      <c r="D62" s="1" t="s">
        <v>83</v>
      </c>
      <c r="E62" s="1" t="s">
        <v>98</v>
      </c>
      <c r="F62" s="1" t="s">
        <v>615</v>
      </c>
      <c r="G62" s="1" t="s">
        <v>609</v>
      </c>
      <c r="H62" s="134">
        <v>45922</v>
      </c>
      <c r="I62" s="1"/>
      <c r="J62" s="1" t="s">
        <v>525</v>
      </c>
      <c r="K62" s="1">
        <v>0</v>
      </c>
      <c r="L62" s="1"/>
      <c r="M62" s="1" t="s">
        <v>118</v>
      </c>
      <c r="N62" s="1" t="s">
        <v>379</v>
      </c>
      <c r="O62" s="1"/>
      <c r="P62" s="1"/>
      <c r="Q62" s="1"/>
      <c r="R62" s="1"/>
      <c r="S62" s="1"/>
      <c r="T62" s="1"/>
      <c r="U62" s="1"/>
      <c r="V62" s="1"/>
      <c r="W62" s="1"/>
      <c r="X62" s="1"/>
      <c r="Y62" s="1"/>
      <c r="Z62"/>
    </row>
    <row r="63" spans="1:26" s="21" customFormat="1" hidden="1" x14ac:dyDescent="0.25">
      <c r="A63" s="1" t="s">
        <v>51</v>
      </c>
      <c r="B63" s="1" t="s">
        <v>82</v>
      </c>
      <c r="C63" s="1" t="s">
        <v>1245</v>
      </c>
      <c r="D63" s="1" t="s">
        <v>83</v>
      </c>
      <c r="E63" s="1" t="s">
        <v>79</v>
      </c>
      <c r="F63" s="1" t="s">
        <v>1246</v>
      </c>
      <c r="G63" s="1" t="s">
        <v>1247</v>
      </c>
      <c r="H63" s="134">
        <v>45923</v>
      </c>
      <c r="I63" s="134">
        <v>45923</v>
      </c>
      <c r="J63" s="1" t="s">
        <v>432</v>
      </c>
      <c r="K63" s="1">
        <v>43</v>
      </c>
      <c r="L63" s="1" t="s">
        <v>80</v>
      </c>
      <c r="M63" s="1" t="s">
        <v>81</v>
      </c>
      <c r="N63" s="1" t="s">
        <v>1248</v>
      </c>
      <c r="O63" s="1"/>
      <c r="P63" s="1"/>
      <c r="Q63" s="1"/>
      <c r="R63" s="1"/>
      <c r="S63" s="1"/>
      <c r="T63" s="1"/>
      <c r="U63" s="1"/>
      <c r="V63" s="1"/>
      <c r="W63" s="1"/>
      <c r="X63" s="1"/>
      <c r="Y63" s="1"/>
      <c r="Z63"/>
    </row>
    <row r="64" spans="1:26" ht="26.4" x14ac:dyDescent="0.25">
      <c r="A64" s="138" t="s">
        <v>51</v>
      </c>
      <c r="B64" s="138" t="s">
        <v>82</v>
      </c>
      <c r="C64" s="138" t="s">
        <v>616</v>
      </c>
      <c r="D64" s="138" t="s">
        <v>83</v>
      </c>
      <c r="E64" s="138" t="s">
        <v>98</v>
      </c>
      <c r="F64" s="138" t="s">
        <v>617</v>
      </c>
      <c r="G64" s="138" t="s">
        <v>526</v>
      </c>
      <c r="H64" s="139">
        <v>45925</v>
      </c>
      <c r="I64" s="138"/>
      <c r="J64" s="138" t="s">
        <v>543</v>
      </c>
      <c r="K64" s="138">
        <v>214</v>
      </c>
      <c r="L64" s="138" t="s">
        <v>80</v>
      </c>
      <c r="M64" s="138" t="s">
        <v>81</v>
      </c>
      <c r="N64" s="138" t="s">
        <v>85</v>
      </c>
      <c r="O64" s="138"/>
      <c r="P64" s="138"/>
      <c r="Q64" s="138"/>
      <c r="R64" s="138"/>
      <c r="S64" s="138"/>
      <c r="T64" s="138"/>
      <c r="U64" s="138"/>
      <c r="V64" s="138"/>
      <c r="W64" s="138"/>
      <c r="X64" s="138"/>
      <c r="Y64" s="140" t="s">
        <v>625</v>
      </c>
    </row>
    <row r="65" spans="1:26" ht="26.4" hidden="1" x14ac:dyDescent="0.25">
      <c r="A65" s="1" t="s">
        <v>378</v>
      </c>
      <c r="B65" s="1" t="s">
        <v>82</v>
      </c>
      <c r="C65" s="1" t="s">
        <v>618</v>
      </c>
      <c r="D65" s="1" t="s">
        <v>83</v>
      </c>
      <c r="E65" s="1" t="s">
        <v>87</v>
      </c>
      <c r="F65" s="1" t="s">
        <v>619</v>
      </c>
      <c r="G65" s="1" t="s">
        <v>586</v>
      </c>
      <c r="H65" s="134">
        <v>45929</v>
      </c>
      <c r="I65" s="134">
        <v>45929</v>
      </c>
      <c r="J65" s="1" t="s">
        <v>887</v>
      </c>
      <c r="K65" s="1">
        <v>137</v>
      </c>
      <c r="L65" s="1" t="s">
        <v>2114</v>
      </c>
      <c r="M65" s="1" t="s">
        <v>81</v>
      </c>
      <c r="N65" s="135" t="s">
        <v>620</v>
      </c>
      <c r="O65" s="1"/>
      <c r="P65" s="1"/>
      <c r="Q65" s="1"/>
      <c r="R65" s="1"/>
      <c r="S65" s="1"/>
      <c r="T65" s="1"/>
      <c r="U65" s="1"/>
      <c r="V65" s="1"/>
      <c r="W65" s="1"/>
      <c r="X65" s="1"/>
      <c r="Y65" s="1"/>
    </row>
    <row r="66" spans="1:26" s="21" customFormat="1" hidden="1" x14ac:dyDescent="0.25">
      <c r="A66" s="1" t="s">
        <v>375</v>
      </c>
      <c r="B66" s="1"/>
      <c r="C66" s="1" t="s">
        <v>621</v>
      </c>
      <c r="D66" s="1" t="s">
        <v>83</v>
      </c>
      <c r="E66" s="1" t="s">
        <v>79</v>
      </c>
      <c r="F66" s="1" t="s">
        <v>622</v>
      </c>
      <c r="G66" s="1" t="s">
        <v>576</v>
      </c>
      <c r="H66" s="134">
        <v>45930</v>
      </c>
      <c r="I66" s="134">
        <v>45930</v>
      </c>
      <c r="J66" s="1" t="s">
        <v>525</v>
      </c>
      <c r="K66" s="1">
        <v>11</v>
      </c>
      <c r="L66" s="1" t="s">
        <v>80</v>
      </c>
      <c r="M66" s="1" t="s">
        <v>118</v>
      </c>
      <c r="N66" s="1" t="s">
        <v>488</v>
      </c>
      <c r="O66" s="1"/>
      <c r="P66" s="1"/>
      <c r="Q66" s="1"/>
      <c r="R66" s="1"/>
      <c r="S66" s="1"/>
      <c r="T66" s="1"/>
      <c r="U66" s="1"/>
      <c r="V66" s="1"/>
      <c r="W66" s="1"/>
      <c r="X66" s="1"/>
      <c r="Y66" s="1"/>
      <c r="Z66"/>
    </row>
    <row r="67" spans="1:26" s="21" customFormat="1" hidden="1" x14ac:dyDescent="0.25">
      <c r="A67" s="1" t="s">
        <v>376</v>
      </c>
      <c r="B67" s="1"/>
      <c r="C67" s="1" t="s">
        <v>623</v>
      </c>
      <c r="D67" s="1" t="s">
        <v>83</v>
      </c>
      <c r="E67" s="1" t="s">
        <v>98</v>
      </c>
      <c r="F67" s="1" t="s">
        <v>624</v>
      </c>
      <c r="G67" s="1" t="s">
        <v>591</v>
      </c>
      <c r="H67" s="134">
        <v>45930</v>
      </c>
      <c r="I67" s="1"/>
      <c r="J67" s="1" t="s">
        <v>525</v>
      </c>
      <c r="K67" s="1">
        <v>0</v>
      </c>
      <c r="L67" s="1" t="s">
        <v>80</v>
      </c>
      <c r="M67" s="1" t="s">
        <v>118</v>
      </c>
      <c r="N67" s="1" t="s">
        <v>488</v>
      </c>
      <c r="O67" s="1"/>
      <c r="P67" s="1"/>
      <c r="Q67" s="1"/>
      <c r="R67" s="1"/>
      <c r="S67" s="1"/>
      <c r="T67" s="1"/>
      <c r="U67" s="1"/>
      <c r="V67" s="1"/>
      <c r="W67" s="1"/>
      <c r="X67" s="1"/>
      <c r="Y67" s="1"/>
      <c r="Z67"/>
    </row>
    <row r="68" spans="1:26" s="21" customFormat="1" hidden="1" x14ac:dyDescent="0.25">
      <c r="A68" s="1" t="s">
        <v>51</v>
      </c>
      <c r="B68" s="1" t="s">
        <v>82</v>
      </c>
      <c r="C68" s="1" t="s">
        <v>1249</v>
      </c>
      <c r="D68" s="1" t="s">
        <v>434</v>
      </c>
      <c r="E68" s="1" t="s">
        <v>84</v>
      </c>
      <c r="F68" s="1" t="s">
        <v>1250</v>
      </c>
      <c r="G68" s="1" t="s">
        <v>89</v>
      </c>
      <c r="H68" s="134">
        <v>45930</v>
      </c>
      <c r="I68" s="1"/>
      <c r="J68" s="1" t="s">
        <v>564</v>
      </c>
      <c r="K68" s="1">
        <v>544</v>
      </c>
      <c r="L68" s="1" t="s">
        <v>521</v>
      </c>
      <c r="M68" s="1" t="s">
        <v>81</v>
      </c>
      <c r="N68" s="1" t="s">
        <v>1229</v>
      </c>
      <c r="O68" s="1"/>
      <c r="P68" s="1"/>
      <c r="Q68" s="1"/>
      <c r="R68" s="1"/>
      <c r="S68" s="1"/>
      <c r="T68" s="1"/>
      <c r="U68" s="1"/>
      <c r="V68" s="1"/>
      <c r="W68" s="1"/>
      <c r="X68" s="1"/>
      <c r="Y68" s="1"/>
      <c r="Z68"/>
    </row>
    <row r="69" spans="1:26" s="21" customFormat="1" hidden="1" x14ac:dyDescent="0.25">
      <c r="A69" s="1" t="s">
        <v>51</v>
      </c>
      <c r="B69" s="1" t="s">
        <v>82</v>
      </c>
      <c r="C69" s="1" t="s">
        <v>1251</v>
      </c>
      <c r="D69" s="1" t="s">
        <v>434</v>
      </c>
      <c r="E69" s="1" t="s">
        <v>84</v>
      </c>
      <c r="F69" s="1" t="s">
        <v>1252</v>
      </c>
      <c r="G69" s="1" t="s">
        <v>89</v>
      </c>
      <c r="H69" s="134">
        <v>45930</v>
      </c>
      <c r="I69" s="1"/>
      <c r="J69" s="1" t="s">
        <v>564</v>
      </c>
      <c r="K69" s="1">
        <v>271</v>
      </c>
      <c r="L69" s="1" t="s">
        <v>521</v>
      </c>
      <c r="M69" s="1" t="s">
        <v>81</v>
      </c>
      <c r="N69" s="1" t="s">
        <v>1229</v>
      </c>
      <c r="O69" s="1"/>
      <c r="P69" s="1"/>
      <c r="Q69" s="1"/>
      <c r="R69" s="1"/>
      <c r="S69" s="1"/>
      <c r="T69" s="1"/>
      <c r="U69" s="1"/>
      <c r="V69" s="1"/>
      <c r="W69" s="1"/>
      <c r="X69" s="1"/>
      <c r="Y69" s="1"/>
      <c r="Z69"/>
    </row>
    <row r="70" spans="1:26" s="21" customFormat="1" hidden="1" x14ac:dyDescent="0.25">
      <c r="A70" s="1" t="s">
        <v>376</v>
      </c>
      <c r="B70" s="1"/>
      <c r="C70" s="1" t="s">
        <v>626</v>
      </c>
      <c r="D70" s="1" t="s">
        <v>83</v>
      </c>
      <c r="E70" s="1" t="s">
        <v>79</v>
      </c>
      <c r="F70" s="1" t="s">
        <v>627</v>
      </c>
      <c r="G70" s="1" t="s">
        <v>591</v>
      </c>
      <c r="H70" s="134">
        <v>45933</v>
      </c>
      <c r="I70" s="1"/>
      <c r="J70" s="1" t="s">
        <v>525</v>
      </c>
      <c r="K70" s="1">
        <v>63</v>
      </c>
      <c r="L70" s="1" t="s">
        <v>80</v>
      </c>
      <c r="M70" s="1" t="s">
        <v>118</v>
      </c>
      <c r="N70" s="1" t="s">
        <v>488</v>
      </c>
      <c r="O70" s="1"/>
      <c r="P70" s="1"/>
      <c r="Q70" s="1"/>
      <c r="R70" s="1"/>
      <c r="S70" s="1"/>
      <c r="T70" s="1"/>
      <c r="U70" s="1"/>
      <c r="V70" s="1"/>
      <c r="W70" s="1"/>
      <c r="X70" s="1"/>
      <c r="Y70" s="1"/>
      <c r="Z70"/>
    </row>
    <row r="71" spans="1:26" s="21" customFormat="1" hidden="1" x14ac:dyDescent="0.25">
      <c r="A71" s="1" t="s">
        <v>51</v>
      </c>
      <c r="B71" s="1" t="s">
        <v>82</v>
      </c>
      <c r="C71" s="1" t="s">
        <v>2115</v>
      </c>
      <c r="D71" s="1" t="s">
        <v>83</v>
      </c>
      <c r="E71" s="1" t="s">
        <v>84</v>
      </c>
      <c r="F71" s="1" t="s">
        <v>2116</v>
      </c>
      <c r="G71" s="1" t="s">
        <v>485</v>
      </c>
      <c r="H71" s="134">
        <v>45933</v>
      </c>
      <c r="I71" s="1"/>
      <c r="J71" s="1" t="s">
        <v>432</v>
      </c>
      <c r="K71" s="1">
        <v>96</v>
      </c>
      <c r="L71" s="1" t="s">
        <v>80</v>
      </c>
      <c r="M71" s="1" t="s">
        <v>81</v>
      </c>
      <c r="N71" s="1" t="s">
        <v>359</v>
      </c>
      <c r="O71" s="1"/>
      <c r="P71" s="1"/>
      <c r="Q71" s="1"/>
      <c r="R71" s="1"/>
      <c r="S71" s="1"/>
      <c r="T71" s="1"/>
      <c r="U71" s="1"/>
      <c r="V71" s="1"/>
      <c r="W71" s="1"/>
      <c r="X71" s="1"/>
      <c r="Y71" s="1"/>
      <c r="Z71"/>
    </row>
    <row r="72" spans="1:26" s="21" customFormat="1" ht="132" hidden="1" x14ac:dyDescent="0.25">
      <c r="A72" s="1" t="s">
        <v>374</v>
      </c>
      <c r="B72" s="1"/>
      <c r="C72" s="1" t="s">
        <v>628</v>
      </c>
      <c r="D72" s="1" t="s">
        <v>83</v>
      </c>
      <c r="E72" s="1" t="s">
        <v>84</v>
      </c>
      <c r="F72" s="1" t="s">
        <v>629</v>
      </c>
      <c r="G72" s="1" t="s">
        <v>630</v>
      </c>
      <c r="H72" s="134">
        <v>45935</v>
      </c>
      <c r="I72" s="134">
        <v>45935</v>
      </c>
      <c r="J72" s="1" t="s">
        <v>525</v>
      </c>
      <c r="K72" s="1">
        <v>1528</v>
      </c>
      <c r="L72" s="1" t="s">
        <v>80</v>
      </c>
      <c r="M72" s="1" t="s">
        <v>118</v>
      </c>
      <c r="N72" s="135" t="s">
        <v>554</v>
      </c>
      <c r="O72" s="1"/>
      <c r="P72" s="1"/>
      <c r="Q72" s="1"/>
      <c r="R72" s="1"/>
      <c r="S72" s="1"/>
      <c r="T72" s="1"/>
      <c r="U72" s="1"/>
      <c r="V72" s="1"/>
      <c r="W72" s="1"/>
      <c r="X72" s="1"/>
      <c r="Y72" s="1"/>
      <c r="Z72"/>
    </row>
    <row r="73" spans="1:26" s="21" customFormat="1" ht="26.4" x14ac:dyDescent="0.25">
      <c r="A73" s="138" t="s">
        <v>51</v>
      </c>
      <c r="B73" s="138" t="s">
        <v>82</v>
      </c>
      <c r="C73" s="138" t="s">
        <v>2117</v>
      </c>
      <c r="D73" s="138" t="s">
        <v>83</v>
      </c>
      <c r="E73" s="138" t="s">
        <v>98</v>
      </c>
      <c r="F73" s="138" t="s">
        <v>2118</v>
      </c>
      <c r="G73" s="138" t="s">
        <v>89</v>
      </c>
      <c r="H73" s="139">
        <v>45936</v>
      </c>
      <c r="I73" s="138"/>
      <c r="J73" s="138" t="s">
        <v>457</v>
      </c>
      <c r="K73" s="138">
        <v>55</v>
      </c>
      <c r="L73" s="138"/>
      <c r="M73" s="138" t="s">
        <v>81</v>
      </c>
      <c r="N73" s="138"/>
      <c r="O73" s="138"/>
      <c r="P73" s="138"/>
      <c r="Q73" s="138"/>
      <c r="R73" s="138"/>
      <c r="S73" s="138"/>
      <c r="T73" s="138"/>
      <c r="U73" s="138"/>
      <c r="V73" s="138"/>
      <c r="W73" s="138"/>
      <c r="X73" s="138"/>
      <c r="Y73" s="140" t="s">
        <v>625</v>
      </c>
      <c r="Z73"/>
    </row>
    <row r="74" spans="1:26" s="21" customFormat="1" hidden="1" x14ac:dyDescent="0.25">
      <c r="A74" s="1" t="s">
        <v>51</v>
      </c>
      <c r="B74" s="1" t="s">
        <v>82</v>
      </c>
      <c r="C74" s="1" t="s">
        <v>2119</v>
      </c>
      <c r="D74" s="1" t="s">
        <v>83</v>
      </c>
      <c r="E74" s="1" t="s">
        <v>84</v>
      </c>
      <c r="F74" s="1" t="s">
        <v>2120</v>
      </c>
      <c r="G74" s="1" t="s">
        <v>371</v>
      </c>
      <c r="H74" s="134">
        <v>45939</v>
      </c>
      <c r="I74" s="1"/>
      <c r="J74" s="1" t="s">
        <v>990</v>
      </c>
      <c r="K74" s="1">
        <v>269</v>
      </c>
      <c r="L74" s="1" t="s">
        <v>80</v>
      </c>
      <c r="M74" s="1" t="s">
        <v>81</v>
      </c>
      <c r="N74" s="1" t="s">
        <v>2041</v>
      </c>
      <c r="O74" s="1"/>
      <c r="P74" s="1"/>
      <c r="Q74" s="1"/>
      <c r="R74" s="1"/>
      <c r="S74" s="1"/>
      <c r="T74" s="1"/>
      <c r="U74" s="1"/>
      <c r="V74" s="1"/>
      <c r="W74" s="1"/>
      <c r="X74" s="1"/>
      <c r="Y74" s="1"/>
      <c r="Z74"/>
    </row>
    <row r="75" spans="1:26" s="21" customFormat="1" hidden="1" x14ac:dyDescent="0.25">
      <c r="A75" s="1" t="s">
        <v>375</v>
      </c>
      <c r="B75" s="1" t="s">
        <v>535</v>
      </c>
      <c r="C75" s="1" t="s">
        <v>632</v>
      </c>
      <c r="D75" s="1" t="s">
        <v>83</v>
      </c>
      <c r="E75" s="1" t="s">
        <v>84</v>
      </c>
      <c r="F75" s="1" t="s">
        <v>604</v>
      </c>
      <c r="G75" s="1" t="s">
        <v>633</v>
      </c>
      <c r="H75" s="134">
        <v>45940</v>
      </c>
      <c r="I75" s="1"/>
      <c r="J75" s="1" t="s">
        <v>487</v>
      </c>
      <c r="K75" s="1">
        <v>179</v>
      </c>
      <c r="L75" s="1" t="s">
        <v>80</v>
      </c>
      <c r="M75" s="1" t="s">
        <v>81</v>
      </c>
      <c r="N75" s="1" t="s">
        <v>488</v>
      </c>
      <c r="O75" s="1"/>
      <c r="P75" s="1"/>
      <c r="Q75" s="1"/>
      <c r="R75" s="1"/>
      <c r="S75" s="1"/>
      <c r="T75" s="1"/>
      <c r="U75" s="1"/>
      <c r="V75" s="1"/>
      <c r="W75" s="1"/>
      <c r="X75" s="1"/>
      <c r="Y75" s="1"/>
      <c r="Z75"/>
    </row>
    <row r="76" spans="1:26" s="21" customFormat="1" hidden="1" x14ac:dyDescent="0.25">
      <c r="A76" s="1" t="s">
        <v>374</v>
      </c>
      <c r="B76" s="1"/>
      <c r="C76" s="1" t="s">
        <v>634</v>
      </c>
      <c r="D76" s="1" t="s">
        <v>83</v>
      </c>
      <c r="E76" s="1" t="s">
        <v>98</v>
      </c>
      <c r="F76" s="1" t="s">
        <v>635</v>
      </c>
      <c r="G76" s="1" t="s">
        <v>636</v>
      </c>
      <c r="H76" s="134">
        <v>45940</v>
      </c>
      <c r="I76" s="134">
        <v>45940</v>
      </c>
      <c r="J76" s="1" t="s">
        <v>445</v>
      </c>
      <c r="K76" s="1">
        <v>0</v>
      </c>
      <c r="L76" s="1" t="s">
        <v>80</v>
      </c>
      <c r="M76" s="1" t="s">
        <v>118</v>
      </c>
      <c r="N76" s="1" t="s">
        <v>488</v>
      </c>
      <c r="O76" s="1"/>
      <c r="P76" s="1"/>
      <c r="Q76" s="1"/>
      <c r="R76" s="1"/>
      <c r="S76" s="1"/>
      <c r="T76" s="1"/>
      <c r="U76" s="1"/>
      <c r="V76" s="1"/>
      <c r="W76" s="1"/>
      <c r="X76" s="1"/>
      <c r="Y76" s="1"/>
      <c r="Z76"/>
    </row>
    <row r="77" spans="1:26" s="21" customFormat="1" hidden="1" x14ac:dyDescent="0.25">
      <c r="A77" s="1" t="s">
        <v>375</v>
      </c>
      <c r="B77" s="1" t="s">
        <v>381</v>
      </c>
      <c r="C77" s="1" t="s">
        <v>1214</v>
      </c>
      <c r="D77" s="1" t="s">
        <v>83</v>
      </c>
      <c r="E77" s="1" t="s">
        <v>84</v>
      </c>
      <c r="F77" s="1" t="s">
        <v>635</v>
      </c>
      <c r="G77" s="1" t="s">
        <v>631</v>
      </c>
      <c r="H77" s="134">
        <v>45940</v>
      </c>
      <c r="I77" s="1"/>
      <c r="J77" s="1" t="s">
        <v>445</v>
      </c>
      <c r="K77" s="1">
        <v>325</v>
      </c>
      <c r="L77" s="1" t="s">
        <v>80</v>
      </c>
      <c r="M77" s="1" t="s">
        <v>81</v>
      </c>
      <c r="N77" s="1" t="s">
        <v>488</v>
      </c>
      <c r="O77" s="1"/>
      <c r="P77" s="1"/>
      <c r="Q77" s="1"/>
      <c r="R77" s="1"/>
      <c r="S77" s="1"/>
      <c r="T77" s="1"/>
      <c r="U77" s="1"/>
      <c r="V77" s="1"/>
      <c r="W77" s="1"/>
      <c r="X77" s="1"/>
      <c r="Y77" s="1"/>
      <c r="Z77"/>
    </row>
    <row r="78" spans="1:26" s="21" customFormat="1" hidden="1" x14ac:dyDescent="0.25">
      <c r="A78" s="1" t="s">
        <v>51</v>
      </c>
      <c r="B78" s="1" t="s">
        <v>82</v>
      </c>
      <c r="C78" s="1" t="s">
        <v>1253</v>
      </c>
      <c r="D78" s="1" t="s">
        <v>434</v>
      </c>
      <c r="E78" s="1" t="s">
        <v>79</v>
      </c>
      <c r="F78" s="1" t="s">
        <v>1254</v>
      </c>
      <c r="G78" s="1" t="s">
        <v>89</v>
      </c>
      <c r="H78" s="134">
        <v>45943</v>
      </c>
      <c r="I78" s="1"/>
      <c r="J78" s="1" t="s">
        <v>509</v>
      </c>
      <c r="K78" s="1">
        <v>44</v>
      </c>
      <c r="L78" s="1" t="s">
        <v>80</v>
      </c>
      <c r="M78" s="1" t="s">
        <v>81</v>
      </c>
      <c r="N78" s="1" t="s">
        <v>85</v>
      </c>
      <c r="O78" s="1"/>
      <c r="P78" s="1"/>
      <c r="Q78" s="1"/>
      <c r="R78" s="1"/>
      <c r="S78" s="1"/>
      <c r="T78" s="1"/>
      <c r="U78" s="1"/>
      <c r="V78" s="1"/>
      <c r="W78" s="1"/>
      <c r="X78" s="1"/>
      <c r="Y78" s="1"/>
      <c r="Z78"/>
    </row>
    <row r="79" spans="1:26" hidden="1" x14ac:dyDescent="0.25">
      <c r="A79" s="1" t="s">
        <v>375</v>
      </c>
      <c r="B79" s="1" t="s">
        <v>535</v>
      </c>
      <c r="C79" s="1" t="s">
        <v>1255</v>
      </c>
      <c r="D79" s="1" t="s">
        <v>83</v>
      </c>
      <c r="E79" s="1" t="s">
        <v>84</v>
      </c>
      <c r="F79" s="1" t="s">
        <v>606</v>
      </c>
      <c r="G79" s="1" t="s">
        <v>633</v>
      </c>
      <c r="H79" s="134">
        <v>45944</v>
      </c>
      <c r="I79" s="1"/>
      <c r="J79" s="1" t="s">
        <v>487</v>
      </c>
      <c r="K79" s="1">
        <v>100</v>
      </c>
      <c r="L79" s="1" t="s">
        <v>80</v>
      </c>
      <c r="M79" s="1" t="s">
        <v>81</v>
      </c>
      <c r="N79" s="1" t="s">
        <v>488</v>
      </c>
      <c r="O79" s="1"/>
      <c r="P79" s="1"/>
      <c r="Q79" s="1"/>
      <c r="R79" s="1"/>
      <c r="S79" s="1"/>
      <c r="T79" s="1"/>
      <c r="U79" s="1"/>
      <c r="V79" s="1"/>
      <c r="W79" s="1"/>
      <c r="X79" s="1"/>
      <c r="Y79" s="1"/>
    </row>
    <row r="80" spans="1:26" s="21" customFormat="1" ht="39.6" x14ac:dyDescent="0.25">
      <c r="A80" s="138" t="s">
        <v>375</v>
      </c>
      <c r="B80" s="138" t="s">
        <v>535</v>
      </c>
      <c r="C80" s="138" t="s">
        <v>1256</v>
      </c>
      <c r="D80" s="138" t="s">
        <v>83</v>
      </c>
      <c r="E80" s="138" t="s">
        <v>84</v>
      </c>
      <c r="F80" s="138" t="s">
        <v>1257</v>
      </c>
      <c r="G80" s="138" t="s">
        <v>633</v>
      </c>
      <c r="H80" s="139">
        <v>45944</v>
      </c>
      <c r="I80" s="138"/>
      <c r="J80" s="138" t="s">
        <v>487</v>
      </c>
      <c r="K80" s="138">
        <v>100</v>
      </c>
      <c r="L80" s="138" t="s">
        <v>80</v>
      </c>
      <c r="M80" s="138" t="s">
        <v>81</v>
      </c>
      <c r="N80" s="138" t="s">
        <v>488</v>
      </c>
      <c r="O80" s="138"/>
      <c r="P80" s="138"/>
      <c r="Q80" s="138"/>
      <c r="R80" s="138"/>
      <c r="S80" s="138"/>
      <c r="T80" s="138"/>
      <c r="U80" s="138"/>
      <c r="V80" s="138"/>
      <c r="W80" s="138"/>
      <c r="X80" s="138"/>
      <c r="Y80" s="140" t="s">
        <v>420</v>
      </c>
      <c r="Z80"/>
    </row>
    <row r="81" spans="1:26" s="21" customFormat="1" hidden="1" x14ac:dyDescent="0.25">
      <c r="A81" s="1" t="s">
        <v>375</v>
      </c>
      <c r="B81" s="1" t="s">
        <v>535</v>
      </c>
      <c r="C81" s="1" t="s">
        <v>1258</v>
      </c>
      <c r="D81" s="1" t="s">
        <v>83</v>
      </c>
      <c r="E81" s="1" t="s">
        <v>84</v>
      </c>
      <c r="F81" s="1" t="s">
        <v>624</v>
      </c>
      <c r="G81" s="1" t="s">
        <v>633</v>
      </c>
      <c r="H81" s="134">
        <v>45944</v>
      </c>
      <c r="I81" s="1"/>
      <c r="J81" s="1" t="s">
        <v>487</v>
      </c>
      <c r="K81" s="1">
        <v>100</v>
      </c>
      <c r="L81" s="1" t="s">
        <v>80</v>
      </c>
      <c r="M81" s="1" t="s">
        <v>81</v>
      </c>
      <c r="N81" s="1" t="s">
        <v>488</v>
      </c>
      <c r="O81" s="1"/>
      <c r="P81" s="1"/>
      <c r="Q81" s="1"/>
      <c r="R81" s="1"/>
      <c r="S81" s="1"/>
      <c r="T81" s="1"/>
      <c r="U81" s="1"/>
      <c r="V81" s="1"/>
      <c r="W81" s="1"/>
      <c r="X81" s="1"/>
      <c r="Y81" s="1"/>
      <c r="Z81"/>
    </row>
    <row r="82" spans="1:26" s="21" customFormat="1" ht="39.6" x14ac:dyDescent="0.25">
      <c r="A82" s="138" t="s">
        <v>375</v>
      </c>
      <c r="B82" s="138" t="s">
        <v>535</v>
      </c>
      <c r="C82" s="138" t="s">
        <v>1259</v>
      </c>
      <c r="D82" s="138" t="s">
        <v>83</v>
      </c>
      <c r="E82" s="138" t="s">
        <v>84</v>
      </c>
      <c r="F82" s="138" t="s">
        <v>601</v>
      </c>
      <c r="G82" s="138" t="s">
        <v>633</v>
      </c>
      <c r="H82" s="139">
        <v>45944</v>
      </c>
      <c r="I82" s="138"/>
      <c r="J82" s="138" t="s">
        <v>487</v>
      </c>
      <c r="K82" s="138">
        <v>100</v>
      </c>
      <c r="L82" s="138" t="s">
        <v>80</v>
      </c>
      <c r="M82" s="138" t="s">
        <v>81</v>
      </c>
      <c r="N82" s="138" t="s">
        <v>488</v>
      </c>
      <c r="O82" s="138"/>
      <c r="P82" s="138"/>
      <c r="Q82" s="138"/>
      <c r="R82" s="138"/>
      <c r="S82" s="138"/>
      <c r="T82" s="138"/>
      <c r="U82" s="138"/>
      <c r="V82" s="138"/>
      <c r="W82" s="138"/>
      <c r="X82" s="138"/>
      <c r="Y82" s="140" t="s">
        <v>420</v>
      </c>
      <c r="Z82"/>
    </row>
    <row r="83" spans="1:26" s="21" customFormat="1" ht="39.6" x14ac:dyDescent="0.25">
      <c r="A83" s="138" t="s">
        <v>375</v>
      </c>
      <c r="B83" s="138" t="s">
        <v>535</v>
      </c>
      <c r="C83" s="138" t="s">
        <v>1260</v>
      </c>
      <c r="D83" s="138" t="s">
        <v>83</v>
      </c>
      <c r="E83" s="138" t="s">
        <v>87</v>
      </c>
      <c r="F83" s="138" t="s">
        <v>627</v>
      </c>
      <c r="G83" s="138" t="s">
        <v>633</v>
      </c>
      <c r="H83" s="139">
        <v>45944</v>
      </c>
      <c r="I83" s="138"/>
      <c r="J83" s="138" t="s">
        <v>487</v>
      </c>
      <c r="K83" s="138">
        <v>154</v>
      </c>
      <c r="L83" s="138" t="s">
        <v>80</v>
      </c>
      <c r="M83" s="138" t="s">
        <v>81</v>
      </c>
      <c r="N83" s="138" t="s">
        <v>488</v>
      </c>
      <c r="O83" s="138"/>
      <c r="P83" s="138"/>
      <c r="Q83" s="138"/>
      <c r="R83" s="138"/>
      <c r="S83" s="138"/>
      <c r="T83" s="138"/>
      <c r="U83" s="138"/>
      <c r="V83" s="138"/>
      <c r="W83" s="138"/>
      <c r="X83" s="138"/>
      <c r="Y83" s="140" t="s">
        <v>1241</v>
      </c>
      <c r="Z83"/>
    </row>
    <row r="84" spans="1:26" s="21" customFormat="1" ht="132" hidden="1" x14ac:dyDescent="0.25">
      <c r="A84" s="1" t="s">
        <v>374</v>
      </c>
      <c r="B84" s="1"/>
      <c r="C84" s="1" t="s">
        <v>1262</v>
      </c>
      <c r="D84" s="1" t="s">
        <v>83</v>
      </c>
      <c r="E84" s="1" t="s">
        <v>98</v>
      </c>
      <c r="F84" s="1" t="s">
        <v>1263</v>
      </c>
      <c r="G84" s="1" t="s">
        <v>1224</v>
      </c>
      <c r="H84" s="134">
        <v>45946</v>
      </c>
      <c r="I84" s="1"/>
      <c r="J84" s="1" t="s">
        <v>525</v>
      </c>
      <c r="K84" s="1">
        <v>0</v>
      </c>
      <c r="L84" s="1"/>
      <c r="M84" s="1" t="s">
        <v>118</v>
      </c>
      <c r="N84" s="135" t="s">
        <v>554</v>
      </c>
      <c r="O84" s="1"/>
      <c r="P84" s="1"/>
      <c r="Q84" s="1"/>
      <c r="R84" s="1"/>
      <c r="S84" s="1"/>
      <c r="T84" s="1"/>
      <c r="U84" s="1"/>
      <c r="V84" s="1"/>
      <c r="W84" s="1"/>
      <c r="X84" s="1"/>
      <c r="Y84" s="1"/>
      <c r="Z84"/>
    </row>
    <row r="85" spans="1:26" s="21" customFormat="1" hidden="1" x14ac:dyDescent="0.25">
      <c r="A85" s="1" t="s">
        <v>375</v>
      </c>
      <c r="B85" s="1" t="s">
        <v>535</v>
      </c>
      <c r="C85" s="1" t="s">
        <v>1264</v>
      </c>
      <c r="D85" s="1" t="s">
        <v>83</v>
      </c>
      <c r="E85" s="1" t="s">
        <v>84</v>
      </c>
      <c r="F85" s="1" t="s">
        <v>581</v>
      </c>
      <c r="G85" s="1" t="s">
        <v>633</v>
      </c>
      <c r="H85" s="134">
        <v>45947</v>
      </c>
      <c r="I85" s="1"/>
      <c r="J85" s="1" t="s">
        <v>487</v>
      </c>
      <c r="K85" s="1">
        <v>137</v>
      </c>
      <c r="L85" s="1" t="s">
        <v>80</v>
      </c>
      <c r="M85" s="1" t="s">
        <v>81</v>
      </c>
      <c r="N85" s="1" t="s">
        <v>583</v>
      </c>
      <c r="O85" s="1"/>
      <c r="P85" s="1"/>
      <c r="Q85" s="1"/>
      <c r="R85" s="1"/>
      <c r="S85" s="1"/>
      <c r="T85" s="1"/>
      <c r="U85" s="1"/>
      <c r="V85" s="1"/>
      <c r="W85" s="1"/>
      <c r="X85" s="1"/>
      <c r="Y85" s="1"/>
      <c r="Z85"/>
    </row>
    <row r="86" spans="1:26" s="21" customFormat="1" hidden="1" x14ac:dyDescent="0.25">
      <c r="A86" s="1" t="s">
        <v>375</v>
      </c>
      <c r="B86" s="1"/>
      <c r="C86" s="1" t="s">
        <v>1265</v>
      </c>
      <c r="D86" s="1" t="s">
        <v>83</v>
      </c>
      <c r="E86" s="1" t="s">
        <v>98</v>
      </c>
      <c r="F86" s="1" t="s">
        <v>1266</v>
      </c>
      <c r="G86" s="1" t="s">
        <v>570</v>
      </c>
      <c r="H86" s="134">
        <v>45949</v>
      </c>
      <c r="I86" s="134">
        <v>45950</v>
      </c>
      <c r="J86" s="1" t="s">
        <v>451</v>
      </c>
      <c r="K86" s="1">
        <v>0</v>
      </c>
      <c r="L86" s="1"/>
      <c r="M86" s="1" t="s">
        <v>118</v>
      </c>
      <c r="N86" s="1" t="s">
        <v>379</v>
      </c>
      <c r="O86" s="1"/>
      <c r="P86" s="1"/>
      <c r="Q86" s="1"/>
      <c r="R86" s="1"/>
      <c r="S86" s="1"/>
      <c r="T86" s="1"/>
      <c r="U86" s="1"/>
      <c r="V86" s="1"/>
      <c r="W86" s="1"/>
      <c r="X86" s="1"/>
      <c r="Y86" s="1"/>
      <c r="Z86"/>
    </row>
    <row r="87" spans="1:26" s="21" customFormat="1" hidden="1" x14ac:dyDescent="0.25">
      <c r="A87" s="1" t="s">
        <v>375</v>
      </c>
      <c r="B87" s="1"/>
      <c r="C87" s="1" t="s">
        <v>1267</v>
      </c>
      <c r="D87" s="1" t="s">
        <v>83</v>
      </c>
      <c r="E87" s="1" t="s">
        <v>98</v>
      </c>
      <c r="F87" s="1" t="s">
        <v>1268</v>
      </c>
      <c r="G87" s="1" t="s">
        <v>1269</v>
      </c>
      <c r="H87" s="134">
        <v>45950</v>
      </c>
      <c r="I87" s="1"/>
      <c r="J87" s="1" t="s">
        <v>525</v>
      </c>
      <c r="K87" s="1">
        <v>0</v>
      </c>
      <c r="L87" s="1" t="s">
        <v>80</v>
      </c>
      <c r="M87" s="1" t="s">
        <v>118</v>
      </c>
      <c r="N87" s="1" t="s">
        <v>488</v>
      </c>
      <c r="O87" s="1"/>
      <c r="P87" s="1"/>
      <c r="Q87" s="1"/>
      <c r="R87" s="1"/>
      <c r="S87" s="1"/>
      <c r="T87" s="1"/>
      <c r="U87" s="1"/>
      <c r="V87" s="1"/>
      <c r="W87" s="1"/>
      <c r="X87" s="1"/>
      <c r="Y87" s="1"/>
      <c r="Z87"/>
    </row>
    <row r="88" spans="1:26" s="21" customFormat="1" hidden="1" x14ac:dyDescent="0.25">
      <c r="A88" s="1" t="s">
        <v>51</v>
      </c>
      <c r="B88" s="1" t="s">
        <v>82</v>
      </c>
      <c r="C88" s="1" t="s">
        <v>1270</v>
      </c>
      <c r="D88" s="1" t="s">
        <v>83</v>
      </c>
      <c r="E88" s="1" t="s">
        <v>96</v>
      </c>
      <c r="F88" s="1" t="s">
        <v>1271</v>
      </c>
      <c r="G88" s="1" t="s">
        <v>88</v>
      </c>
      <c r="H88" s="134">
        <v>45951</v>
      </c>
      <c r="I88" s="1"/>
      <c r="J88" s="1" t="s">
        <v>457</v>
      </c>
      <c r="K88" s="1">
        <v>245</v>
      </c>
      <c r="L88" s="1" t="s">
        <v>80</v>
      </c>
      <c r="M88" s="1" t="s">
        <v>81</v>
      </c>
      <c r="N88" s="1" t="s">
        <v>85</v>
      </c>
      <c r="O88" s="1"/>
      <c r="P88" s="1"/>
      <c r="Q88" s="1"/>
      <c r="R88" s="1"/>
      <c r="S88" s="1"/>
      <c r="T88" s="1"/>
      <c r="U88" s="1"/>
      <c r="V88" s="1"/>
      <c r="W88" s="1"/>
      <c r="X88" s="1"/>
      <c r="Y88" s="1"/>
      <c r="Z88"/>
    </row>
    <row r="89" spans="1:26" s="21" customFormat="1" hidden="1" x14ac:dyDescent="0.25">
      <c r="A89" s="1" t="s">
        <v>380</v>
      </c>
      <c r="B89" s="1" t="s">
        <v>1234</v>
      </c>
      <c r="C89" s="1" t="s">
        <v>1272</v>
      </c>
      <c r="D89" s="1" t="s">
        <v>434</v>
      </c>
      <c r="E89" s="1" t="s">
        <v>79</v>
      </c>
      <c r="F89" s="1" t="s">
        <v>1273</v>
      </c>
      <c r="G89" s="1" t="s">
        <v>1274</v>
      </c>
      <c r="H89" s="134">
        <v>45951</v>
      </c>
      <c r="I89" s="134">
        <v>45951</v>
      </c>
      <c r="J89" s="1" t="s">
        <v>887</v>
      </c>
      <c r="K89" s="1">
        <v>36</v>
      </c>
      <c r="L89" s="1" t="s">
        <v>80</v>
      </c>
      <c r="M89" s="1" t="s">
        <v>81</v>
      </c>
      <c r="N89" s="1" t="s">
        <v>1238</v>
      </c>
      <c r="O89" s="1"/>
      <c r="P89" s="1"/>
      <c r="Q89" s="1"/>
      <c r="R89" s="1"/>
      <c r="S89" s="1"/>
      <c r="T89" s="1"/>
      <c r="U89" s="1"/>
      <c r="V89" s="1"/>
      <c r="W89" s="1"/>
      <c r="X89" s="1"/>
      <c r="Y89" s="1"/>
      <c r="Z89"/>
    </row>
    <row r="90" spans="1:26" hidden="1" x14ac:dyDescent="0.25">
      <c r="A90" s="1" t="s">
        <v>375</v>
      </c>
      <c r="B90" s="1"/>
      <c r="C90" s="1" t="s">
        <v>1275</v>
      </c>
      <c r="D90" s="1" t="s">
        <v>83</v>
      </c>
      <c r="E90" s="1" t="s">
        <v>98</v>
      </c>
      <c r="F90" s="1" t="s">
        <v>1276</v>
      </c>
      <c r="G90" s="1" t="s">
        <v>1277</v>
      </c>
      <c r="H90" s="134">
        <v>45953</v>
      </c>
      <c r="I90" s="134">
        <v>45953</v>
      </c>
      <c r="J90" s="1" t="s">
        <v>525</v>
      </c>
      <c r="K90" s="1">
        <v>0</v>
      </c>
      <c r="L90" s="1" t="s">
        <v>80</v>
      </c>
      <c r="M90" s="1" t="s">
        <v>118</v>
      </c>
      <c r="N90" s="1" t="s">
        <v>452</v>
      </c>
      <c r="O90" s="1"/>
      <c r="P90" s="1"/>
      <c r="Q90" s="1"/>
      <c r="R90" s="1"/>
      <c r="S90" s="1"/>
      <c r="T90" s="1"/>
      <c r="U90" s="1"/>
      <c r="V90" s="1"/>
      <c r="W90" s="1"/>
      <c r="X90" s="1"/>
      <c r="Y90" s="1"/>
    </row>
    <row r="91" spans="1:26" s="21" customFormat="1" hidden="1" x14ac:dyDescent="0.25">
      <c r="A91" s="1" t="s">
        <v>376</v>
      </c>
      <c r="B91" s="1"/>
      <c r="C91" s="1" t="s">
        <v>1278</v>
      </c>
      <c r="D91" s="1" t="s">
        <v>83</v>
      </c>
      <c r="E91" s="1" t="s">
        <v>98</v>
      </c>
      <c r="F91" s="1" t="s">
        <v>1279</v>
      </c>
      <c r="G91" s="1" t="s">
        <v>602</v>
      </c>
      <c r="H91" s="134">
        <v>45953</v>
      </c>
      <c r="I91" s="134">
        <v>45953</v>
      </c>
      <c r="J91" s="1" t="s">
        <v>525</v>
      </c>
      <c r="K91" s="1">
        <v>0</v>
      </c>
      <c r="L91" s="1"/>
      <c r="M91" s="1" t="s">
        <v>118</v>
      </c>
      <c r="N91" s="1" t="s">
        <v>488</v>
      </c>
      <c r="O91" s="1"/>
      <c r="P91" s="1"/>
      <c r="Q91" s="1"/>
      <c r="R91" s="1"/>
      <c r="S91" s="1"/>
      <c r="T91" s="1"/>
      <c r="U91" s="1"/>
      <c r="V91" s="1"/>
      <c r="W91" s="1"/>
      <c r="X91" s="1"/>
      <c r="Y91" s="1"/>
      <c r="Z91"/>
    </row>
    <row r="92" spans="1:26" s="21" customFormat="1" hidden="1" x14ac:dyDescent="0.25">
      <c r="A92" s="1" t="s">
        <v>375</v>
      </c>
      <c r="B92" s="1"/>
      <c r="C92" s="1" t="s">
        <v>1280</v>
      </c>
      <c r="D92" s="1" t="s">
        <v>83</v>
      </c>
      <c r="E92" s="1" t="s">
        <v>98</v>
      </c>
      <c r="F92" s="1" t="s">
        <v>1281</v>
      </c>
      <c r="G92" s="1" t="s">
        <v>1282</v>
      </c>
      <c r="H92" s="134">
        <v>45953</v>
      </c>
      <c r="I92" s="134">
        <v>45953</v>
      </c>
      <c r="J92" s="1" t="s">
        <v>445</v>
      </c>
      <c r="K92" s="1">
        <v>0</v>
      </c>
      <c r="L92" s="1"/>
      <c r="M92" s="1" t="s">
        <v>118</v>
      </c>
      <c r="N92" s="1" t="s">
        <v>452</v>
      </c>
      <c r="O92" s="1"/>
      <c r="P92" s="1"/>
      <c r="Q92" s="1"/>
      <c r="R92" s="1"/>
      <c r="S92" s="1"/>
      <c r="T92" s="1"/>
      <c r="U92" s="1"/>
      <c r="V92" s="1"/>
      <c r="W92" s="1"/>
      <c r="X92" s="1"/>
      <c r="Y92" s="1"/>
      <c r="Z92"/>
    </row>
    <row r="93" spans="1:26" hidden="1" x14ac:dyDescent="0.25">
      <c r="A93" s="1" t="s">
        <v>375</v>
      </c>
      <c r="B93" s="1"/>
      <c r="C93" s="1" t="s">
        <v>1283</v>
      </c>
      <c r="D93" s="1" t="s">
        <v>83</v>
      </c>
      <c r="E93" s="1" t="s">
        <v>98</v>
      </c>
      <c r="F93" s="1" t="s">
        <v>2121</v>
      </c>
      <c r="G93" s="1" t="s">
        <v>1277</v>
      </c>
      <c r="H93" s="134">
        <v>45953</v>
      </c>
      <c r="I93" s="134">
        <v>45953</v>
      </c>
      <c r="J93" s="1" t="s">
        <v>445</v>
      </c>
      <c r="K93" s="1">
        <v>0</v>
      </c>
      <c r="L93" s="1" t="s">
        <v>80</v>
      </c>
      <c r="M93" s="1" t="s">
        <v>118</v>
      </c>
      <c r="N93" s="1" t="s">
        <v>452</v>
      </c>
      <c r="O93" s="1"/>
      <c r="P93" s="1"/>
      <c r="Q93" s="1"/>
      <c r="R93" s="1"/>
      <c r="S93" s="1"/>
      <c r="T93" s="1"/>
      <c r="U93" s="1"/>
      <c r="V93" s="1"/>
      <c r="W93" s="1"/>
      <c r="X93" s="1"/>
      <c r="Y93" s="1"/>
    </row>
    <row r="94" spans="1:26" s="21" customFormat="1" hidden="1" x14ac:dyDescent="0.25">
      <c r="A94" s="1" t="s">
        <v>375</v>
      </c>
      <c r="B94" s="1" t="s">
        <v>535</v>
      </c>
      <c r="C94" s="1" t="s">
        <v>1284</v>
      </c>
      <c r="D94" s="1" t="s">
        <v>83</v>
      </c>
      <c r="E94" s="1" t="s">
        <v>84</v>
      </c>
      <c r="F94" s="1" t="s">
        <v>1281</v>
      </c>
      <c r="G94" s="1" t="s">
        <v>631</v>
      </c>
      <c r="H94" s="134">
        <v>45954</v>
      </c>
      <c r="I94" s="1"/>
      <c r="J94" s="1" t="s">
        <v>445</v>
      </c>
      <c r="K94" s="1">
        <v>47</v>
      </c>
      <c r="L94" s="1" t="s">
        <v>80</v>
      </c>
      <c r="M94" s="1" t="s">
        <v>81</v>
      </c>
      <c r="N94" s="1" t="s">
        <v>452</v>
      </c>
      <c r="O94" s="1"/>
      <c r="P94" s="1"/>
      <c r="Q94" s="1"/>
      <c r="R94" s="1"/>
      <c r="S94" s="1"/>
      <c r="T94" s="1"/>
      <c r="U94" s="1"/>
      <c r="V94" s="1"/>
      <c r="W94" s="1"/>
      <c r="X94" s="1"/>
      <c r="Y94" s="1"/>
      <c r="Z94"/>
    </row>
    <row r="95" spans="1:26" s="21" customFormat="1" ht="39.6" x14ac:dyDescent="0.25">
      <c r="A95" s="138" t="s">
        <v>375</v>
      </c>
      <c r="B95" s="138" t="s">
        <v>535</v>
      </c>
      <c r="C95" s="138" t="s">
        <v>1285</v>
      </c>
      <c r="D95" s="138" t="s">
        <v>83</v>
      </c>
      <c r="E95" s="138" t="s">
        <v>84</v>
      </c>
      <c r="F95" s="138" t="s">
        <v>599</v>
      </c>
      <c r="G95" s="138" t="s">
        <v>1261</v>
      </c>
      <c r="H95" s="139">
        <v>45954</v>
      </c>
      <c r="I95" s="138"/>
      <c r="J95" s="138" t="s">
        <v>445</v>
      </c>
      <c r="K95" s="138">
        <v>332</v>
      </c>
      <c r="L95" s="138" t="s">
        <v>80</v>
      </c>
      <c r="M95" s="138" t="s">
        <v>81</v>
      </c>
      <c r="N95" s="138" t="s">
        <v>379</v>
      </c>
      <c r="O95" s="138"/>
      <c r="P95" s="138"/>
      <c r="Q95" s="138"/>
      <c r="R95" s="138"/>
      <c r="S95" s="138"/>
      <c r="T95" s="138"/>
      <c r="U95" s="138"/>
      <c r="V95" s="138"/>
      <c r="W95" s="138"/>
      <c r="X95" s="138"/>
      <c r="Y95" s="140" t="s">
        <v>420</v>
      </c>
      <c r="Z95"/>
    </row>
    <row r="96" spans="1:26" s="21" customFormat="1" hidden="1" x14ac:dyDescent="0.25">
      <c r="A96" s="1" t="s">
        <v>375</v>
      </c>
      <c r="B96" s="1" t="s">
        <v>535</v>
      </c>
      <c r="C96" s="1" t="s">
        <v>1286</v>
      </c>
      <c r="D96" s="1" t="s">
        <v>83</v>
      </c>
      <c r="E96" s="1" t="s">
        <v>84</v>
      </c>
      <c r="F96" s="1" t="s">
        <v>1276</v>
      </c>
      <c r="G96" s="1" t="s">
        <v>633</v>
      </c>
      <c r="H96" s="134">
        <v>45957</v>
      </c>
      <c r="I96" s="1"/>
      <c r="J96" s="1" t="s">
        <v>445</v>
      </c>
      <c r="K96" s="1">
        <v>1</v>
      </c>
      <c r="L96" s="1" t="s">
        <v>80</v>
      </c>
      <c r="M96" s="1" t="s">
        <v>81</v>
      </c>
      <c r="N96" s="1" t="s">
        <v>452</v>
      </c>
      <c r="O96" s="1"/>
      <c r="P96" s="1"/>
      <c r="Q96" s="1"/>
      <c r="R96" s="1"/>
      <c r="S96" s="1"/>
      <c r="T96" s="1"/>
      <c r="U96" s="1"/>
      <c r="V96" s="1"/>
      <c r="W96" s="1"/>
      <c r="X96" s="1"/>
      <c r="Y96" s="1"/>
      <c r="Z96"/>
    </row>
    <row r="97" spans="1:25" hidden="1" x14ac:dyDescent="0.25">
      <c r="A97" s="1" t="s">
        <v>51</v>
      </c>
      <c r="B97" s="1" t="s">
        <v>82</v>
      </c>
      <c r="C97" s="1" t="s">
        <v>2122</v>
      </c>
      <c r="D97" s="1" t="s">
        <v>83</v>
      </c>
      <c r="E97" s="1" t="s">
        <v>84</v>
      </c>
      <c r="F97" s="1" t="s">
        <v>2123</v>
      </c>
      <c r="G97" s="1" t="s">
        <v>530</v>
      </c>
      <c r="H97" s="134">
        <v>45959</v>
      </c>
      <c r="I97" s="134">
        <v>45960</v>
      </c>
      <c r="J97" s="1" t="s">
        <v>2111</v>
      </c>
      <c r="K97" s="1">
        <v>38</v>
      </c>
      <c r="L97" s="1" t="s">
        <v>80</v>
      </c>
      <c r="M97" s="1" t="s">
        <v>81</v>
      </c>
      <c r="N97" s="1" t="s">
        <v>370</v>
      </c>
      <c r="O97" s="1"/>
      <c r="P97" s="1"/>
      <c r="Q97" s="1"/>
      <c r="R97" s="1"/>
      <c r="S97" s="1"/>
      <c r="T97" s="1"/>
      <c r="U97" s="1"/>
      <c r="V97" s="1"/>
      <c r="W97" s="1"/>
      <c r="X97" s="1"/>
      <c r="Y97" s="1"/>
    </row>
    <row r="98" spans="1:25" ht="26.4" x14ac:dyDescent="0.25">
      <c r="A98" s="138" t="s">
        <v>51</v>
      </c>
      <c r="B98" s="138"/>
      <c r="C98" s="138" t="s">
        <v>1598</v>
      </c>
      <c r="D98" s="138" t="s">
        <v>434</v>
      </c>
      <c r="E98" s="138" t="s">
        <v>98</v>
      </c>
      <c r="F98" s="138" t="s">
        <v>1599</v>
      </c>
      <c r="G98" s="138" t="s">
        <v>1071</v>
      </c>
      <c r="H98" s="139">
        <v>45960</v>
      </c>
      <c r="I98" s="138"/>
      <c r="J98" s="138" t="s">
        <v>457</v>
      </c>
      <c r="K98" s="138">
        <v>0</v>
      </c>
      <c r="L98" s="138"/>
      <c r="M98" s="138" t="s">
        <v>81</v>
      </c>
      <c r="N98" s="138"/>
      <c r="O98" s="138"/>
      <c r="P98" s="138"/>
      <c r="Q98" s="138"/>
      <c r="R98" s="138"/>
      <c r="S98" s="138"/>
      <c r="T98" s="138"/>
      <c r="U98" s="138"/>
      <c r="V98" s="138"/>
      <c r="W98" s="138"/>
      <c r="X98" s="138"/>
      <c r="Y98" s="140" t="s">
        <v>625</v>
      </c>
    </row>
    <row r="99" spans="1:25" ht="26.4" x14ac:dyDescent="0.25">
      <c r="A99" s="138" t="s">
        <v>51</v>
      </c>
      <c r="B99" s="138"/>
      <c r="C99" s="138" t="s">
        <v>1600</v>
      </c>
      <c r="D99" s="138" t="s">
        <v>434</v>
      </c>
      <c r="E99" s="138" t="s">
        <v>98</v>
      </c>
      <c r="F99" s="138" t="s">
        <v>1601</v>
      </c>
      <c r="G99" s="138" t="s">
        <v>1071</v>
      </c>
      <c r="H99" s="139">
        <v>45960</v>
      </c>
      <c r="I99" s="138"/>
      <c r="J99" s="138" t="s">
        <v>457</v>
      </c>
      <c r="K99" s="138">
        <v>0</v>
      </c>
      <c r="L99" s="138"/>
      <c r="M99" s="138" t="s">
        <v>81</v>
      </c>
      <c r="N99" s="138"/>
      <c r="O99" s="138"/>
      <c r="P99" s="138"/>
      <c r="Q99" s="138"/>
      <c r="R99" s="138"/>
      <c r="S99" s="138"/>
      <c r="T99" s="138"/>
      <c r="U99" s="138"/>
      <c r="V99" s="138"/>
      <c r="W99" s="138"/>
      <c r="X99" s="138"/>
      <c r="Y99" s="140" t="s">
        <v>625</v>
      </c>
    </row>
    <row r="100" spans="1:25" hidden="1" x14ac:dyDescent="0.25">
      <c r="A100" s="1" t="s">
        <v>384</v>
      </c>
      <c r="B100" s="1" t="s">
        <v>1602</v>
      </c>
      <c r="C100" s="1" t="s">
        <v>1603</v>
      </c>
      <c r="D100" s="1" t="s">
        <v>83</v>
      </c>
      <c r="E100" s="1" t="s">
        <v>84</v>
      </c>
      <c r="F100" s="1" t="s">
        <v>1604</v>
      </c>
      <c r="G100" s="1" t="s">
        <v>1605</v>
      </c>
      <c r="H100" s="134">
        <v>45960</v>
      </c>
      <c r="I100" s="134">
        <v>45960</v>
      </c>
      <c r="J100" s="1" t="s">
        <v>520</v>
      </c>
      <c r="K100" s="1">
        <v>8</v>
      </c>
      <c r="L100" s="1" t="s">
        <v>80</v>
      </c>
      <c r="M100" s="1" t="s">
        <v>81</v>
      </c>
      <c r="N100" s="1" t="s">
        <v>1606</v>
      </c>
      <c r="O100" s="1"/>
      <c r="P100" s="1"/>
      <c r="Q100" s="1"/>
      <c r="R100" s="1"/>
      <c r="S100" s="1"/>
      <c r="T100" s="1"/>
      <c r="U100" s="1"/>
      <c r="V100" s="1"/>
      <c r="W100" s="1"/>
      <c r="X100" s="1"/>
      <c r="Y100" s="1"/>
    </row>
    <row r="101" spans="1:25" ht="132" hidden="1" x14ac:dyDescent="0.25">
      <c r="A101" s="1" t="s">
        <v>374</v>
      </c>
      <c r="B101" s="1"/>
      <c r="C101" s="1" t="s">
        <v>1767</v>
      </c>
      <c r="D101" s="1" t="s">
        <v>83</v>
      </c>
      <c r="E101" s="1" t="s">
        <v>98</v>
      </c>
      <c r="F101" s="1" t="s">
        <v>1768</v>
      </c>
      <c r="G101" s="1" t="s">
        <v>1224</v>
      </c>
      <c r="H101" s="134">
        <v>45964</v>
      </c>
      <c r="I101" s="1"/>
      <c r="J101" s="1" t="s">
        <v>525</v>
      </c>
      <c r="K101" s="1">
        <v>0</v>
      </c>
      <c r="L101" s="1"/>
      <c r="M101" s="1" t="s">
        <v>118</v>
      </c>
      <c r="N101" s="135" t="s">
        <v>554</v>
      </c>
      <c r="O101" s="1"/>
      <c r="P101" s="1"/>
      <c r="Q101" s="1"/>
      <c r="R101" s="1"/>
      <c r="S101" s="1"/>
      <c r="T101" s="1"/>
      <c r="U101" s="1"/>
      <c r="V101" s="1"/>
      <c r="W101" s="1"/>
      <c r="X101" s="1"/>
      <c r="Y101" s="1"/>
    </row>
    <row r="102" spans="1:25" hidden="1" x14ac:dyDescent="0.25">
      <c r="A102" s="1" t="s">
        <v>380</v>
      </c>
      <c r="B102" s="1" t="s">
        <v>1981</v>
      </c>
      <c r="C102" s="1" t="s">
        <v>1982</v>
      </c>
      <c r="D102" s="1" t="s">
        <v>83</v>
      </c>
      <c r="E102" s="1" t="s">
        <v>84</v>
      </c>
      <c r="F102" s="1" t="s">
        <v>1983</v>
      </c>
      <c r="G102" s="1" t="s">
        <v>1984</v>
      </c>
      <c r="H102" s="134">
        <v>45965</v>
      </c>
      <c r="I102" s="134">
        <v>45967</v>
      </c>
      <c r="J102" s="1" t="s">
        <v>520</v>
      </c>
      <c r="K102" s="1">
        <v>160</v>
      </c>
      <c r="L102" s="1" t="s">
        <v>80</v>
      </c>
      <c r="M102" s="1" t="s">
        <v>81</v>
      </c>
      <c r="N102" s="1" t="s">
        <v>1985</v>
      </c>
      <c r="O102" s="1"/>
      <c r="P102" s="1"/>
      <c r="Q102" s="1"/>
      <c r="R102" s="1"/>
      <c r="S102" s="1"/>
      <c r="T102" s="1"/>
      <c r="U102" s="1"/>
      <c r="V102" s="1"/>
      <c r="W102" s="1"/>
      <c r="X102" s="1"/>
      <c r="Y102" s="1"/>
    </row>
    <row r="103" spans="1:25" ht="26.4" x14ac:dyDescent="0.25">
      <c r="A103" s="154" t="s">
        <v>51</v>
      </c>
      <c r="B103" s="154" t="s">
        <v>82</v>
      </c>
      <c r="C103" s="154" t="s">
        <v>1769</v>
      </c>
      <c r="D103" s="154" t="s">
        <v>363</v>
      </c>
      <c r="E103" s="154" t="s">
        <v>87</v>
      </c>
      <c r="F103" s="154" t="s">
        <v>1770</v>
      </c>
      <c r="G103" s="154" t="s">
        <v>485</v>
      </c>
      <c r="H103" s="155">
        <v>45965</v>
      </c>
      <c r="I103" s="154"/>
      <c r="J103" s="154" t="s">
        <v>561</v>
      </c>
      <c r="K103" s="154">
        <v>28</v>
      </c>
      <c r="L103" s="154" t="s">
        <v>80</v>
      </c>
      <c r="M103" s="154" t="s">
        <v>81</v>
      </c>
      <c r="N103" s="154" t="s">
        <v>1986</v>
      </c>
      <c r="O103" s="155">
        <v>45959</v>
      </c>
      <c r="P103" s="154" t="s">
        <v>1987</v>
      </c>
      <c r="Q103" s="154" t="s">
        <v>9</v>
      </c>
      <c r="R103" s="154" t="s">
        <v>465</v>
      </c>
      <c r="S103" s="154"/>
      <c r="T103" s="154"/>
      <c r="U103" s="154"/>
      <c r="V103" s="154"/>
      <c r="W103" s="154"/>
      <c r="X103" s="154"/>
      <c r="Y103" s="156" t="s">
        <v>1771</v>
      </c>
    </row>
    <row r="104" spans="1:25" hidden="1" x14ac:dyDescent="0.25">
      <c r="A104" s="1" t="s">
        <v>51</v>
      </c>
      <c r="B104" s="1" t="s">
        <v>82</v>
      </c>
      <c r="C104" s="1" t="s">
        <v>1988</v>
      </c>
      <c r="D104" s="1" t="s">
        <v>83</v>
      </c>
      <c r="E104" s="1" t="s">
        <v>79</v>
      </c>
      <c r="F104" s="1" t="s">
        <v>1989</v>
      </c>
      <c r="G104" s="1" t="s">
        <v>526</v>
      </c>
      <c r="H104" s="134">
        <v>45965</v>
      </c>
      <c r="I104" s="1"/>
      <c r="J104" s="1" t="s">
        <v>509</v>
      </c>
      <c r="K104" s="1">
        <v>19</v>
      </c>
      <c r="L104" s="1" t="s">
        <v>80</v>
      </c>
      <c r="M104" s="1" t="s">
        <v>81</v>
      </c>
      <c r="N104" s="1" t="s">
        <v>85</v>
      </c>
      <c r="O104" s="1"/>
      <c r="P104" s="1"/>
      <c r="Q104" s="1"/>
      <c r="R104" s="1"/>
      <c r="S104" s="1"/>
      <c r="T104" s="1"/>
      <c r="U104" s="1"/>
      <c r="V104" s="1"/>
      <c r="W104" s="1"/>
      <c r="X104" s="1"/>
      <c r="Y104" s="1"/>
    </row>
    <row r="105" spans="1:25" hidden="1" x14ac:dyDescent="0.25">
      <c r="A105" s="1" t="s">
        <v>51</v>
      </c>
      <c r="B105" s="1" t="s">
        <v>82</v>
      </c>
      <c r="C105" s="1" t="s">
        <v>2124</v>
      </c>
      <c r="D105" s="1" t="s">
        <v>83</v>
      </c>
      <c r="E105" s="1" t="s">
        <v>84</v>
      </c>
      <c r="F105" s="1" t="s">
        <v>2125</v>
      </c>
      <c r="G105" s="1" t="s">
        <v>485</v>
      </c>
      <c r="H105" s="134">
        <v>45965</v>
      </c>
      <c r="I105" s="1"/>
      <c r="J105" s="1" t="s">
        <v>432</v>
      </c>
      <c r="K105" s="1">
        <v>19</v>
      </c>
      <c r="L105" s="1" t="s">
        <v>80</v>
      </c>
      <c r="M105" s="1" t="s">
        <v>81</v>
      </c>
      <c r="N105" s="1" t="s">
        <v>359</v>
      </c>
      <c r="O105" s="1"/>
      <c r="P105" s="1"/>
      <c r="Q105" s="1"/>
      <c r="R105" s="1"/>
      <c r="S105" s="1"/>
      <c r="T105" s="1"/>
      <c r="U105" s="1"/>
      <c r="V105" s="1"/>
      <c r="W105" s="1"/>
      <c r="X105" s="1"/>
      <c r="Y105" s="1"/>
    </row>
    <row r="106" spans="1:25" hidden="1" x14ac:dyDescent="0.25">
      <c r="A106" s="1" t="s">
        <v>382</v>
      </c>
      <c r="B106" s="1" t="s">
        <v>578</v>
      </c>
      <c r="C106" s="1" t="s">
        <v>1772</v>
      </c>
      <c r="D106" s="1" t="s">
        <v>83</v>
      </c>
      <c r="E106" s="1" t="s">
        <v>79</v>
      </c>
      <c r="F106" s="1" t="s">
        <v>1773</v>
      </c>
      <c r="G106" s="1" t="s">
        <v>1774</v>
      </c>
      <c r="H106" s="134">
        <v>45966</v>
      </c>
      <c r="I106" s="134">
        <v>45966</v>
      </c>
      <c r="J106" s="1" t="s">
        <v>587</v>
      </c>
      <c r="K106" s="1">
        <v>75</v>
      </c>
      <c r="L106" s="1" t="s">
        <v>80</v>
      </c>
      <c r="M106" s="1" t="s">
        <v>81</v>
      </c>
      <c r="N106" s="1" t="s">
        <v>1775</v>
      </c>
      <c r="O106" s="1"/>
      <c r="P106" s="1"/>
      <c r="Q106" s="1"/>
      <c r="R106" s="1"/>
      <c r="S106" s="1"/>
      <c r="T106" s="1"/>
      <c r="U106" s="1"/>
      <c r="V106" s="1"/>
      <c r="W106" s="1"/>
      <c r="X106" s="1"/>
      <c r="Y106" s="1"/>
    </row>
    <row r="107" spans="1:25" hidden="1" x14ac:dyDescent="0.25">
      <c r="A107" s="1" t="s">
        <v>375</v>
      </c>
      <c r="B107" s="1"/>
      <c r="C107" s="1" t="s">
        <v>1776</v>
      </c>
      <c r="D107" s="1" t="s">
        <v>83</v>
      </c>
      <c r="E107" s="1" t="s">
        <v>79</v>
      </c>
      <c r="F107" s="1" t="s">
        <v>1777</v>
      </c>
      <c r="G107" s="1" t="s">
        <v>1277</v>
      </c>
      <c r="H107" s="134">
        <v>45966</v>
      </c>
      <c r="I107" s="134">
        <v>45966</v>
      </c>
      <c r="J107" s="1" t="s">
        <v>525</v>
      </c>
      <c r="K107" s="1">
        <v>24</v>
      </c>
      <c r="L107" s="1" t="s">
        <v>80</v>
      </c>
      <c r="M107" s="1" t="s">
        <v>118</v>
      </c>
      <c r="N107" s="1" t="s">
        <v>452</v>
      </c>
      <c r="O107" s="1"/>
      <c r="P107" s="1"/>
      <c r="Q107" s="1"/>
      <c r="R107" s="1"/>
      <c r="S107" s="1"/>
      <c r="T107" s="1"/>
      <c r="U107" s="1"/>
      <c r="V107" s="1"/>
      <c r="W107" s="1"/>
      <c r="X107" s="1"/>
      <c r="Y107" s="1"/>
    </row>
    <row r="108" spans="1:25" hidden="1" x14ac:dyDescent="0.25">
      <c r="A108" s="1" t="s">
        <v>384</v>
      </c>
      <c r="B108" s="1" t="s">
        <v>1234</v>
      </c>
      <c r="C108" s="1" t="s">
        <v>1990</v>
      </c>
      <c r="D108" s="1" t="s">
        <v>83</v>
      </c>
      <c r="E108" s="1" t="s">
        <v>79</v>
      </c>
      <c r="F108" s="1" t="s">
        <v>1991</v>
      </c>
      <c r="G108" s="1" t="s">
        <v>1237</v>
      </c>
      <c r="H108" s="134">
        <v>45967</v>
      </c>
      <c r="I108" s="134">
        <v>45967</v>
      </c>
      <c r="J108" s="1" t="s">
        <v>520</v>
      </c>
      <c r="K108" s="1">
        <v>88</v>
      </c>
      <c r="L108" s="1" t="s">
        <v>80</v>
      </c>
      <c r="M108" s="1" t="s">
        <v>81</v>
      </c>
      <c r="N108" s="1" t="s">
        <v>1238</v>
      </c>
      <c r="O108" s="1"/>
      <c r="P108" s="1"/>
      <c r="Q108" s="1"/>
      <c r="R108" s="1"/>
      <c r="S108" s="1"/>
      <c r="T108" s="1"/>
      <c r="U108" s="1"/>
      <c r="V108" s="1"/>
      <c r="W108" s="1"/>
      <c r="X108" s="1"/>
      <c r="Y108" s="1"/>
    </row>
    <row r="109" spans="1:25" hidden="1" x14ac:dyDescent="0.25">
      <c r="A109" s="1" t="s">
        <v>378</v>
      </c>
      <c r="B109" s="1" t="s">
        <v>82</v>
      </c>
      <c r="C109" s="1" t="s">
        <v>1992</v>
      </c>
      <c r="D109" s="1" t="s">
        <v>83</v>
      </c>
      <c r="E109" s="1" t="s">
        <v>84</v>
      </c>
      <c r="F109" s="1" t="s">
        <v>1993</v>
      </c>
      <c r="G109" s="1" t="s">
        <v>586</v>
      </c>
      <c r="H109" s="134">
        <v>45967</v>
      </c>
      <c r="I109" s="134">
        <v>45967</v>
      </c>
      <c r="J109" s="1" t="s">
        <v>520</v>
      </c>
      <c r="K109" s="1">
        <v>154</v>
      </c>
      <c r="L109" s="1" t="s">
        <v>80</v>
      </c>
      <c r="M109" s="1" t="s">
        <v>81</v>
      </c>
      <c r="N109" s="1" t="s">
        <v>359</v>
      </c>
      <c r="O109" s="1"/>
      <c r="P109" s="1"/>
      <c r="Q109" s="1"/>
      <c r="R109" s="1"/>
      <c r="S109" s="1"/>
      <c r="T109" s="1"/>
      <c r="U109" s="1"/>
      <c r="V109" s="1"/>
      <c r="W109" s="1"/>
      <c r="X109" s="1"/>
      <c r="Y109" s="1"/>
    </row>
    <row r="110" spans="1:25" ht="132" hidden="1" x14ac:dyDescent="0.25">
      <c r="A110" s="1" t="s">
        <v>375</v>
      </c>
      <c r="B110" s="1" t="s">
        <v>381</v>
      </c>
      <c r="C110" s="1" t="s">
        <v>1994</v>
      </c>
      <c r="D110" s="1" t="s">
        <v>83</v>
      </c>
      <c r="E110" s="1" t="s">
        <v>84</v>
      </c>
      <c r="F110" s="1" t="s">
        <v>629</v>
      </c>
      <c r="G110" s="1" t="s">
        <v>633</v>
      </c>
      <c r="H110" s="134">
        <v>45967</v>
      </c>
      <c r="I110" s="134">
        <v>45972</v>
      </c>
      <c r="J110" s="1" t="s">
        <v>540</v>
      </c>
      <c r="K110" s="1">
        <v>1872</v>
      </c>
      <c r="L110" s="1" t="s">
        <v>80</v>
      </c>
      <c r="M110" s="1" t="s">
        <v>81</v>
      </c>
      <c r="N110" s="135" t="s">
        <v>554</v>
      </c>
      <c r="O110" s="1"/>
      <c r="P110" s="1"/>
      <c r="Q110" s="1"/>
      <c r="R110" s="1"/>
      <c r="S110" s="1"/>
      <c r="T110" s="1"/>
      <c r="U110" s="1"/>
      <c r="V110" s="1"/>
      <c r="W110" s="1"/>
      <c r="X110" s="1"/>
      <c r="Y110" s="1"/>
    </row>
    <row r="111" spans="1:25" hidden="1" x14ac:dyDescent="0.25">
      <c r="A111" s="1" t="s">
        <v>51</v>
      </c>
      <c r="B111" s="1" t="s">
        <v>82</v>
      </c>
      <c r="C111" s="1" t="s">
        <v>1995</v>
      </c>
      <c r="D111" s="1" t="s">
        <v>83</v>
      </c>
      <c r="E111" s="1" t="s">
        <v>79</v>
      </c>
      <c r="F111" s="1" t="s">
        <v>1996</v>
      </c>
      <c r="G111" s="1" t="s">
        <v>88</v>
      </c>
      <c r="H111" s="134">
        <v>45968</v>
      </c>
      <c r="I111" s="1"/>
      <c r="J111" s="1" t="s">
        <v>457</v>
      </c>
      <c r="K111" s="1">
        <v>308</v>
      </c>
      <c r="L111" s="1" t="s">
        <v>80</v>
      </c>
      <c r="M111" s="1" t="s">
        <v>81</v>
      </c>
      <c r="N111" s="1" t="s">
        <v>2126</v>
      </c>
      <c r="O111" s="1"/>
      <c r="P111" s="1"/>
      <c r="Q111" s="1"/>
      <c r="R111" s="1"/>
      <c r="S111" s="1"/>
      <c r="T111" s="1"/>
      <c r="U111" s="1"/>
      <c r="V111" s="1"/>
      <c r="W111" s="1"/>
      <c r="X111" s="1"/>
      <c r="Y111" s="1"/>
    </row>
    <row r="112" spans="1:25" hidden="1" x14ac:dyDescent="0.25">
      <c r="A112" s="1" t="s">
        <v>376</v>
      </c>
      <c r="B112" s="1"/>
      <c r="C112" s="1" t="s">
        <v>1998</v>
      </c>
      <c r="D112" s="1" t="s">
        <v>83</v>
      </c>
      <c r="E112" s="1" t="s">
        <v>79</v>
      </c>
      <c r="F112" s="1" t="s">
        <v>1999</v>
      </c>
      <c r="G112" s="1" t="s">
        <v>633</v>
      </c>
      <c r="H112" s="134">
        <v>45968</v>
      </c>
      <c r="I112" s="1"/>
      <c r="J112" s="1" t="s">
        <v>525</v>
      </c>
      <c r="K112" s="1">
        <v>9</v>
      </c>
      <c r="L112" s="1" t="s">
        <v>80</v>
      </c>
      <c r="M112" s="1" t="s">
        <v>118</v>
      </c>
      <c r="N112" s="1" t="s">
        <v>488</v>
      </c>
      <c r="O112" s="1"/>
      <c r="P112" s="1"/>
      <c r="Q112" s="1"/>
      <c r="R112" s="1"/>
      <c r="S112" s="1"/>
      <c r="T112" s="1"/>
      <c r="U112" s="1"/>
      <c r="V112" s="1"/>
      <c r="W112" s="1"/>
      <c r="X112" s="1"/>
      <c r="Y112" s="1"/>
    </row>
    <row r="113" spans="1:25" ht="39.6" x14ac:dyDescent="0.25">
      <c r="A113" s="138" t="s">
        <v>374</v>
      </c>
      <c r="B113" s="138" t="s">
        <v>535</v>
      </c>
      <c r="C113" s="138" t="s">
        <v>2000</v>
      </c>
      <c r="D113" s="138" t="s">
        <v>83</v>
      </c>
      <c r="E113" s="138" t="s">
        <v>87</v>
      </c>
      <c r="F113" s="138" t="s">
        <v>1999</v>
      </c>
      <c r="G113" s="138" t="s">
        <v>633</v>
      </c>
      <c r="H113" s="139">
        <v>45968</v>
      </c>
      <c r="I113" s="138"/>
      <c r="J113" s="138" t="s">
        <v>487</v>
      </c>
      <c r="K113" s="138">
        <v>47</v>
      </c>
      <c r="L113" s="138" t="s">
        <v>80</v>
      </c>
      <c r="M113" s="138" t="s">
        <v>81</v>
      </c>
      <c r="N113" s="138" t="s">
        <v>488</v>
      </c>
      <c r="O113" s="138"/>
      <c r="P113" s="138"/>
      <c r="Q113" s="138"/>
      <c r="R113" s="138"/>
      <c r="S113" s="138"/>
      <c r="T113" s="138"/>
      <c r="U113" s="138"/>
      <c r="V113" s="138"/>
      <c r="W113" s="138"/>
      <c r="X113" s="138"/>
      <c r="Y113" s="140" t="s">
        <v>1241</v>
      </c>
    </row>
    <row r="114" spans="1:25" ht="39.6" x14ac:dyDescent="0.25">
      <c r="A114" s="138" t="s">
        <v>375</v>
      </c>
      <c r="B114" s="138" t="s">
        <v>535</v>
      </c>
      <c r="C114" s="138" t="s">
        <v>2001</v>
      </c>
      <c r="D114" s="138" t="s">
        <v>83</v>
      </c>
      <c r="E114" s="138" t="s">
        <v>84</v>
      </c>
      <c r="F114" s="138" t="s">
        <v>1777</v>
      </c>
      <c r="G114" s="138" t="s">
        <v>631</v>
      </c>
      <c r="H114" s="139">
        <v>45969</v>
      </c>
      <c r="I114" s="138"/>
      <c r="J114" s="138" t="s">
        <v>445</v>
      </c>
      <c r="K114" s="138">
        <v>74</v>
      </c>
      <c r="L114" s="138" t="s">
        <v>80</v>
      </c>
      <c r="M114" s="138" t="s">
        <v>81</v>
      </c>
      <c r="N114" s="138" t="s">
        <v>452</v>
      </c>
      <c r="O114" s="138"/>
      <c r="P114" s="138"/>
      <c r="Q114" s="138"/>
      <c r="R114" s="138"/>
      <c r="S114" s="138"/>
      <c r="T114" s="138"/>
      <c r="U114" s="138"/>
      <c r="V114" s="138"/>
      <c r="W114" s="138"/>
      <c r="X114" s="138"/>
      <c r="Y114" s="140" t="s">
        <v>420</v>
      </c>
    </row>
    <row r="115" spans="1:25" ht="26.4" x14ac:dyDescent="0.25">
      <c r="A115" s="138" t="s">
        <v>51</v>
      </c>
      <c r="B115" s="138" t="s">
        <v>82</v>
      </c>
      <c r="C115" s="138" t="s">
        <v>2127</v>
      </c>
      <c r="D115" s="138" t="s">
        <v>434</v>
      </c>
      <c r="E115" s="138" t="s">
        <v>98</v>
      </c>
      <c r="F115" s="138" t="s">
        <v>2128</v>
      </c>
      <c r="G115" s="138" t="s">
        <v>526</v>
      </c>
      <c r="H115" s="139">
        <v>45974</v>
      </c>
      <c r="I115" s="138"/>
      <c r="J115" s="138" t="s">
        <v>457</v>
      </c>
      <c r="K115" s="138">
        <v>0</v>
      </c>
      <c r="L115" s="138"/>
      <c r="M115" s="138" t="s">
        <v>81</v>
      </c>
      <c r="N115" s="138" t="s">
        <v>85</v>
      </c>
      <c r="O115" s="138"/>
      <c r="P115" s="138"/>
      <c r="Q115" s="138"/>
      <c r="R115" s="138"/>
      <c r="S115" s="138"/>
      <c r="T115" s="138"/>
      <c r="U115" s="138"/>
      <c r="V115" s="138"/>
      <c r="W115" s="138"/>
      <c r="X115" s="138"/>
      <c r="Y115" s="140" t="s">
        <v>625</v>
      </c>
    </row>
    <row r="116" spans="1:25" ht="26.4" x14ac:dyDescent="0.25">
      <c r="A116" s="138" t="s">
        <v>375</v>
      </c>
      <c r="B116" s="138" t="s">
        <v>535</v>
      </c>
      <c r="C116" s="138" t="s">
        <v>2129</v>
      </c>
      <c r="D116" s="138" t="s">
        <v>83</v>
      </c>
      <c r="E116" s="138" t="s">
        <v>98</v>
      </c>
      <c r="F116" s="138" t="s">
        <v>2130</v>
      </c>
      <c r="G116" s="138" t="s">
        <v>1261</v>
      </c>
      <c r="H116" s="139">
        <v>45974</v>
      </c>
      <c r="I116" s="138"/>
      <c r="J116" s="138" t="s">
        <v>445</v>
      </c>
      <c r="K116" s="138">
        <v>0</v>
      </c>
      <c r="L116" s="138"/>
      <c r="M116" s="138" t="s">
        <v>81</v>
      </c>
      <c r="N116" s="138" t="s">
        <v>2131</v>
      </c>
      <c r="O116" s="138"/>
      <c r="P116" s="138"/>
      <c r="Q116" s="138"/>
      <c r="R116" s="138"/>
      <c r="S116" s="138"/>
      <c r="T116" s="138"/>
      <c r="U116" s="138"/>
      <c r="V116" s="138"/>
      <c r="W116" s="138"/>
      <c r="X116" s="138"/>
      <c r="Y116" s="140" t="s">
        <v>625</v>
      </c>
    </row>
    <row r="117" spans="1:25" ht="26.4" x14ac:dyDescent="0.25">
      <c r="A117" s="138" t="s">
        <v>51</v>
      </c>
      <c r="B117" s="138" t="s">
        <v>82</v>
      </c>
      <c r="C117" s="138" t="s">
        <v>2132</v>
      </c>
      <c r="D117" s="138" t="s">
        <v>83</v>
      </c>
      <c r="E117" s="138" t="s">
        <v>98</v>
      </c>
      <c r="F117" s="138" t="s">
        <v>2133</v>
      </c>
      <c r="G117" s="138" t="s">
        <v>1897</v>
      </c>
      <c r="H117" s="139">
        <v>45975</v>
      </c>
      <c r="I117" s="138"/>
      <c r="J117" s="138" t="s">
        <v>387</v>
      </c>
      <c r="K117" s="138">
        <v>0</v>
      </c>
      <c r="L117" s="138"/>
      <c r="M117" s="138" t="s">
        <v>81</v>
      </c>
      <c r="N117" s="138" t="s">
        <v>2134</v>
      </c>
      <c r="O117" s="138"/>
      <c r="P117" s="138"/>
      <c r="Q117" s="138"/>
      <c r="R117" s="138"/>
      <c r="S117" s="138"/>
      <c r="T117" s="138"/>
      <c r="U117" s="138"/>
      <c r="V117" s="138"/>
      <c r="W117" s="138"/>
      <c r="X117" s="138"/>
      <c r="Y117" s="140" t="s">
        <v>625</v>
      </c>
    </row>
    <row r="118" spans="1:25" hidden="1" x14ac:dyDescent="0.25">
      <c r="A118" s="1" t="s">
        <v>378</v>
      </c>
      <c r="B118" s="1"/>
      <c r="C118" s="1" t="s">
        <v>2135</v>
      </c>
      <c r="D118" s="1" t="s">
        <v>363</v>
      </c>
      <c r="E118" s="1" t="s">
        <v>96</v>
      </c>
      <c r="F118" s="1" t="s">
        <v>2136</v>
      </c>
      <c r="G118" s="1" t="s">
        <v>888</v>
      </c>
      <c r="H118" s="134">
        <v>45978</v>
      </c>
      <c r="I118" s="1"/>
      <c r="J118" s="1" t="s">
        <v>520</v>
      </c>
      <c r="K118" s="1">
        <v>0</v>
      </c>
      <c r="L118" s="1"/>
      <c r="M118" s="1" t="s">
        <v>118</v>
      </c>
      <c r="N118" s="1" t="s">
        <v>1248</v>
      </c>
      <c r="O118" s="1"/>
      <c r="P118" s="1"/>
      <c r="Q118" s="1"/>
      <c r="R118" s="1"/>
      <c r="S118" s="1"/>
      <c r="T118" s="1"/>
      <c r="U118" s="1"/>
      <c r="V118" s="1"/>
      <c r="W118" s="1"/>
      <c r="X118" s="1"/>
      <c r="Y118" s="1"/>
    </row>
    <row r="119" spans="1:25" hidden="1" x14ac:dyDescent="0.25">
      <c r="A119" s="1" t="s">
        <v>374</v>
      </c>
      <c r="B119" s="1"/>
      <c r="C119" s="1" t="s">
        <v>2137</v>
      </c>
      <c r="D119" s="1" t="s">
        <v>83</v>
      </c>
      <c r="E119" s="1" t="s">
        <v>98</v>
      </c>
      <c r="F119" s="1" t="s">
        <v>2138</v>
      </c>
      <c r="G119" s="1" t="s">
        <v>609</v>
      </c>
      <c r="H119" s="134">
        <v>45978</v>
      </c>
      <c r="I119" s="134">
        <v>45978</v>
      </c>
      <c r="J119" s="1" t="s">
        <v>525</v>
      </c>
      <c r="K119" s="1">
        <v>0</v>
      </c>
      <c r="L119" s="1"/>
      <c r="M119" s="1" t="s">
        <v>118</v>
      </c>
      <c r="N119" s="1" t="s">
        <v>379</v>
      </c>
      <c r="O119" s="1"/>
      <c r="P119" s="1"/>
      <c r="Q119" s="1"/>
      <c r="R119" s="1"/>
      <c r="S119" s="1"/>
      <c r="T119" s="1"/>
      <c r="U119" s="1"/>
      <c r="V119" s="1"/>
      <c r="W119" s="1"/>
      <c r="X119" s="1"/>
      <c r="Y119" s="1"/>
    </row>
    <row r="120" spans="1:25" ht="26.4" x14ac:dyDescent="0.25">
      <c r="A120" s="146" t="s">
        <v>374</v>
      </c>
      <c r="B120" s="146" t="s">
        <v>381</v>
      </c>
      <c r="C120" s="146" t="s">
        <v>2139</v>
      </c>
      <c r="D120" s="146" t="s">
        <v>83</v>
      </c>
      <c r="E120" s="146" t="s">
        <v>98</v>
      </c>
      <c r="F120" s="146" t="s">
        <v>2138</v>
      </c>
      <c r="G120" s="146" t="s">
        <v>633</v>
      </c>
      <c r="H120" s="147">
        <v>45979</v>
      </c>
      <c r="I120" s="146"/>
      <c r="J120" s="146" t="s">
        <v>445</v>
      </c>
      <c r="K120" s="146">
        <v>0</v>
      </c>
      <c r="L120" s="146"/>
      <c r="M120" s="146" t="s">
        <v>81</v>
      </c>
      <c r="N120" s="146" t="s">
        <v>379</v>
      </c>
      <c r="O120" s="146"/>
      <c r="P120" s="146"/>
      <c r="Q120" s="146"/>
      <c r="R120" s="146"/>
      <c r="S120" s="146"/>
      <c r="T120" s="146"/>
      <c r="U120" s="146"/>
      <c r="V120" s="146"/>
      <c r="W120" s="146"/>
      <c r="X120" s="146"/>
      <c r="Y120" s="148" t="s">
        <v>1997</v>
      </c>
    </row>
    <row r="121" spans="1:25" hidden="1" x14ac:dyDescent="0.25">
      <c r="A121" s="1" t="s">
        <v>376</v>
      </c>
      <c r="B121" s="1"/>
      <c r="C121" s="1" t="s">
        <v>2140</v>
      </c>
      <c r="D121" s="1" t="s">
        <v>83</v>
      </c>
      <c r="E121" s="1" t="s">
        <v>79</v>
      </c>
      <c r="F121" s="1" t="s">
        <v>2141</v>
      </c>
      <c r="G121" s="1" t="s">
        <v>633</v>
      </c>
      <c r="H121" s="134">
        <v>45979</v>
      </c>
      <c r="I121" s="1"/>
      <c r="J121" s="1" t="s">
        <v>525</v>
      </c>
      <c r="K121" s="1">
        <v>1</v>
      </c>
      <c r="L121" s="1" t="s">
        <v>80</v>
      </c>
      <c r="M121" s="1" t="s">
        <v>118</v>
      </c>
      <c r="N121" s="1" t="s">
        <v>488</v>
      </c>
      <c r="O121" s="1"/>
      <c r="P121" s="1"/>
      <c r="Q121" s="1"/>
      <c r="R121" s="1"/>
      <c r="S121" s="1"/>
      <c r="T121" s="1"/>
      <c r="U121" s="1"/>
      <c r="V121" s="1"/>
      <c r="W121" s="1"/>
      <c r="X121" s="1"/>
      <c r="Y121" s="1"/>
    </row>
    <row r="122" spans="1:25" hidden="1" x14ac:dyDescent="0.25">
      <c r="A122" s="1" t="s">
        <v>375</v>
      </c>
      <c r="B122" s="1"/>
      <c r="C122" s="1" t="s">
        <v>2142</v>
      </c>
      <c r="D122" s="1" t="s">
        <v>83</v>
      </c>
      <c r="E122" s="1" t="s">
        <v>98</v>
      </c>
      <c r="F122" s="1" t="s">
        <v>2143</v>
      </c>
      <c r="G122" s="1" t="s">
        <v>570</v>
      </c>
      <c r="H122" s="134">
        <v>45979</v>
      </c>
      <c r="I122" s="134">
        <v>45979</v>
      </c>
      <c r="J122" s="1" t="s">
        <v>451</v>
      </c>
      <c r="K122" s="1">
        <v>0</v>
      </c>
      <c r="L122" s="1"/>
      <c r="M122" s="1" t="s">
        <v>118</v>
      </c>
      <c r="N122" s="1" t="s">
        <v>379</v>
      </c>
      <c r="O122" s="1"/>
      <c r="P122" s="1"/>
      <c r="Q122" s="1"/>
      <c r="R122" s="1"/>
      <c r="S122" s="1"/>
      <c r="T122" s="1"/>
      <c r="U122" s="1"/>
      <c r="V122" s="1"/>
      <c r="W122" s="1"/>
      <c r="X122" s="1"/>
      <c r="Y122" s="1"/>
    </row>
    <row r="123" spans="1:25" ht="26.4" x14ac:dyDescent="0.25">
      <c r="A123" s="146" t="s">
        <v>375</v>
      </c>
      <c r="B123" s="146" t="s">
        <v>535</v>
      </c>
      <c r="C123" s="146" t="s">
        <v>2144</v>
      </c>
      <c r="D123" s="146" t="s">
        <v>83</v>
      </c>
      <c r="E123" s="146" t="s">
        <v>98</v>
      </c>
      <c r="F123" s="146" t="s">
        <v>1268</v>
      </c>
      <c r="G123" s="146" t="s">
        <v>633</v>
      </c>
      <c r="H123" s="147">
        <v>45979</v>
      </c>
      <c r="I123" s="146"/>
      <c r="J123" s="146" t="s">
        <v>487</v>
      </c>
      <c r="K123" s="146">
        <v>0</v>
      </c>
      <c r="L123" s="146" t="s">
        <v>80</v>
      </c>
      <c r="M123" s="146" t="s">
        <v>81</v>
      </c>
      <c r="N123" s="146" t="s">
        <v>488</v>
      </c>
      <c r="O123" s="146"/>
      <c r="P123" s="146"/>
      <c r="Q123" s="146"/>
      <c r="R123" s="146"/>
      <c r="S123" s="146"/>
      <c r="T123" s="146"/>
      <c r="U123" s="146"/>
      <c r="V123" s="146"/>
      <c r="W123" s="146"/>
      <c r="X123" s="146"/>
      <c r="Y123" s="148" t="s">
        <v>1997</v>
      </c>
    </row>
    <row r="124" spans="1:25" ht="26.4" x14ac:dyDescent="0.25">
      <c r="A124" s="158" t="s">
        <v>375</v>
      </c>
      <c r="B124" s="158" t="s">
        <v>535</v>
      </c>
      <c r="C124" s="158" t="s">
        <v>2145</v>
      </c>
      <c r="D124" s="158" t="s">
        <v>83</v>
      </c>
      <c r="E124" s="158" t="s">
        <v>98</v>
      </c>
      <c r="F124" s="158" t="s">
        <v>2143</v>
      </c>
      <c r="G124" s="158" t="s">
        <v>1261</v>
      </c>
      <c r="H124" s="159">
        <v>45980</v>
      </c>
      <c r="I124" s="158"/>
      <c r="J124" s="158" t="s">
        <v>445</v>
      </c>
      <c r="K124" s="158">
        <v>0</v>
      </c>
      <c r="L124" s="158"/>
      <c r="M124" s="158" t="s">
        <v>81</v>
      </c>
      <c r="N124" s="158" t="s">
        <v>379</v>
      </c>
      <c r="O124" s="158"/>
      <c r="P124" s="158"/>
      <c r="Q124" s="158"/>
      <c r="R124" s="158"/>
      <c r="S124" s="158"/>
      <c r="T124" s="158"/>
      <c r="U124" s="158"/>
      <c r="V124" s="158"/>
      <c r="W124" s="158"/>
      <c r="X124" s="158"/>
      <c r="Y124" s="160" t="s">
        <v>2146</v>
      </c>
    </row>
    <row r="125" spans="1:25" hidden="1" x14ac:dyDescent="0.25">
      <c r="A125" s="1" t="s">
        <v>376</v>
      </c>
      <c r="B125" s="1"/>
      <c r="C125" s="1" t="s">
        <v>2147</v>
      </c>
      <c r="D125" s="1" t="s">
        <v>83</v>
      </c>
      <c r="E125" s="1" t="s">
        <v>96</v>
      </c>
      <c r="F125" s="1" t="s">
        <v>2148</v>
      </c>
      <c r="G125" s="1" t="s">
        <v>591</v>
      </c>
      <c r="H125" s="134">
        <v>45981</v>
      </c>
      <c r="I125" s="1"/>
      <c r="J125" s="1" t="s">
        <v>525</v>
      </c>
      <c r="K125" s="1">
        <v>0</v>
      </c>
      <c r="L125" s="1" t="s">
        <v>80</v>
      </c>
      <c r="M125" s="1" t="s">
        <v>118</v>
      </c>
      <c r="N125" s="1" t="s">
        <v>488</v>
      </c>
      <c r="O125" s="1"/>
      <c r="P125" s="1"/>
      <c r="Q125" s="1"/>
      <c r="R125" s="1"/>
      <c r="S125" s="1"/>
      <c r="T125" s="1"/>
      <c r="U125" s="1"/>
      <c r="V125" s="1"/>
      <c r="W125" s="1"/>
      <c r="X125" s="1"/>
      <c r="Y125" s="1"/>
    </row>
    <row r="126" spans="1:25" hidden="1" x14ac:dyDescent="0.25">
      <c r="A126" s="1" t="s">
        <v>375</v>
      </c>
      <c r="B126" s="1"/>
      <c r="C126" s="1" t="s">
        <v>2149</v>
      </c>
      <c r="D126" s="1" t="s">
        <v>83</v>
      </c>
      <c r="E126" s="1" t="s">
        <v>98</v>
      </c>
      <c r="F126" s="1" t="s">
        <v>2150</v>
      </c>
      <c r="G126" s="1" t="s">
        <v>2151</v>
      </c>
      <c r="H126" s="134">
        <v>45981</v>
      </c>
      <c r="I126" s="134">
        <v>45981</v>
      </c>
      <c r="J126" s="1" t="s">
        <v>525</v>
      </c>
      <c r="K126" s="1">
        <v>0</v>
      </c>
      <c r="L126" s="1" t="s">
        <v>80</v>
      </c>
      <c r="M126" s="1" t="s">
        <v>118</v>
      </c>
      <c r="N126" s="1" t="s">
        <v>488</v>
      </c>
      <c r="O126" s="1"/>
      <c r="P126" s="1"/>
      <c r="Q126" s="1"/>
      <c r="R126" s="1"/>
      <c r="S126" s="1"/>
      <c r="T126" s="1"/>
      <c r="U126" s="1"/>
      <c r="V126" s="1"/>
      <c r="W126" s="1"/>
      <c r="X126" s="1"/>
      <c r="Y126" s="1"/>
    </row>
    <row r="127" spans="1:25" hidden="1" x14ac:dyDescent="0.25">
      <c r="A127" s="1" t="s">
        <v>380</v>
      </c>
      <c r="B127" s="1" t="s">
        <v>1602</v>
      </c>
      <c r="C127" s="1" t="s">
        <v>2152</v>
      </c>
      <c r="D127" s="1" t="s">
        <v>83</v>
      </c>
      <c r="E127" s="1" t="s">
        <v>79</v>
      </c>
      <c r="F127" s="1" t="s">
        <v>2153</v>
      </c>
      <c r="G127" s="1" t="s">
        <v>2154</v>
      </c>
      <c r="H127" s="134">
        <v>45981</v>
      </c>
      <c r="I127" s="134">
        <v>45981</v>
      </c>
      <c r="J127" s="1" t="s">
        <v>587</v>
      </c>
      <c r="K127" s="1">
        <v>20</v>
      </c>
      <c r="L127" s="1" t="s">
        <v>80</v>
      </c>
      <c r="M127" s="1" t="s">
        <v>81</v>
      </c>
      <c r="N127" s="1" t="s">
        <v>2155</v>
      </c>
      <c r="O127" s="1"/>
      <c r="P127" s="1"/>
      <c r="Q127" s="1"/>
      <c r="R127" s="1"/>
      <c r="S127" s="1"/>
      <c r="T127" s="1"/>
      <c r="U127" s="1"/>
      <c r="V127" s="1"/>
      <c r="W127" s="1"/>
      <c r="X127" s="1"/>
      <c r="Y127" s="1"/>
    </row>
  </sheetData>
  <autoFilter ref="A2:Y127" xr:uid="{00000000-0001-0000-0300-000000000000}">
    <filterColumn colId="24">
      <customFilters>
        <customFilter operator="notEqual" val=" "/>
      </customFilters>
    </filterColumn>
  </autoFilter>
  <mergeCells count="1">
    <mergeCell ref="A1:G1"/>
  </mergeCells>
  <pageMargins left="0.7" right="0.7" top="0.75" bottom="0.75" header="0.3" footer="0.3"/>
  <pageSetup orientation="portrait" horizontalDpi="4294967295" verticalDpi="4294967295"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filterMode="1">
    <tabColor theme="8" tint="-0.249977111117893"/>
  </sheetPr>
  <dimension ref="A1:M327"/>
  <sheetViews>
    <sheetView topLeftCell="A141" zoomScale="85" zoomScaleNormal="85" workbookViewId="0">
      <selection activeCell="N267" sqref="N267"/>
    </sheetView>
  </sheetViews>
  <sheetFormatPr defaultColWidth="9.33203125" defaultRowHeight="13.2" x14ac:dyDescent="0.25"/>
  <cols>
    <col min="1" max="1" width="49.5546875" bestFit="1" customWidth="1"/>
    <col min="2" max="2" width="18.88671875" hidden="1" customWidth="1"/>
    <col min="3" max="3" width="15.88671875" bestFit="1" customWidth="1"/>
    <col min="4" max="4" width="9.44140625" bestFit="1" customWidth="1"/>
    <col min="5" max="5" width="45.88671875" bestFit="1" customWidth="1"/>
    <col min="6" max="6" width="13.6640625" bestFit="1" customWidth="1"/>
    <col min="7" max="7" width="18.109375" hidden="1" customWidth="1"/>
    <col min="8" max="8" width="23.33203125" hidden="1" customWidth="1"/>
    <col min="9" max="9" width="19.5546875" customWidth="1"/>
    <col min="10" max="10" width="40.6640625" bestFit="1" customWidth="1"/>
    <col min="11" max="11" width="46.33203125" hidden="1" customWidth="1"/>
    <col min="12" max="12" width="18.109375" hidden="1" customWidth="1"/>
    <col min="13" max="13" width="26.44140625" customWidth="1"/>
    <col min="14" max="14" width="14.44140625" customWidth="1"/>
  </cols>
  <sheetData>
    <row r="1" spans="1:13" ht="22.8" x14ac:dyDescent="0.4">
      <c r="A1" s="205" t="s">
        <v>90</v>
      </c>
      <c r="B1" s="205"/>
      <c r="C1" s="205"/>
      <c r="D1" s="205"/>
      <c r="E1" s="205"/>
      <c r="F1" s="205"/>
      <c r="G1" s="205"/>
      <c r="H1" s="108" t="s">
        <v>54</v>
      </c>
      <c r="I1" s="109">
        <v>45985.44599537037</v>
      </c>
      <c r="J1" s="108" t="s">
        <v>91</v>
      </c>
      <c r="K1" s="130">
        <v>325</v>
      </c>
      <c r="L1" s="107"/>
    </row>
    <row r="2" spans="1:13" ht="15.6" x14ac:dyDescent="0.3">
      <c r="A2" s="110" t="s">
        <v>46</v>
      </c>
      <c r="B2" s="110" t="s">
        <v>9</v>
      </c>
      <c r="C2" s="110" t="s">
        <v>92</v>
      </c>
      <c r="D2" s="110" t="s">
        <v>66</v>
      </c>
      <c r="E2" s="110" t="s">
        <v>59</v>
      </c>
      <c r="F2" s="110" t="s">
        <v>58</v>
      </c>
      <c r="G2" s="110" t="s">
        <v>61</v>
      </c>
      <c r="H2" s="110" t="s">
        <v>93</v>
      </c>
      <c r="I2" s="110" t="s">
        <v>94</v>
      </c>
      <c r="J2" s="110" t="s">
        <v>8</v>
      </c>
      <c r="K2" s="110" t="s">
        <v>60</v>
      </c>
      <c r="L2" s="110" t="s">
        <v>67</v>
      </c>
      <c r="M2" s="110" t="s">
        <v>78</v>
      </c>
    </row>
    <row r="3" spans="1:13" hidden="1" x14ac:dyDescent="0.25">
      <c r="A3" s="1" t="s">
        <v>51</v>
      </c>
      <c r="B3" s="1" t="s">
        <v>82</v>
      </c>
      <c r="C3" s="1" t="s">
        <v>637</v>
      </c>
      <c r="D3" s="1" t="s">
        <v>95</v>
      </c>
      <c r="E3" s="1" t="s">
        <v>638</v>
      </c>
      <c r="F3" s="1" t="s">
        <v>96</v>
      </c>
      <c r="G3" s="134">
        <v>45069</v>
      </c>
      <c r="H3" s="134">
        <v>45086</v>
      </c>
      <c r="I3" s="134">
        <v>45107</v>
      </c>
      <c r="J3" s="1" t="s">
        <v>447</v>
      </c>
      <c r="K3" s="1" t="s">
        <v>639</v>
      </c>
      <c r="L3" s="1"/>
      <c r="M3" s="1"/>
    </row>
    <row r="4" spans="1:13" hidden="1" x14ac:dyDescent="0.25">
      <c r="A4" s="1" t="s">
        <v>374</v>
      </c>
      <c r="B4" s="1" t="s">
        <v>381</v>
      </c>
      <c r="C4" s="1" t="s">
        <v>640</v>
      </c>
      <c r="D4" s="1" t="s">
        <v>95</v>
      </c>
      <c r="E4" s="1" t="s">
        <v>641</v>
      </c>
      <c r="F4" s="1" t="s">
        <v>96</v>
      </c>
      <c r="G4" s="134">
        <v>45272</v>
      </c>
      <c r="H4" s="134">
        <v>45273</v>
      </c>
      <c r="I4" s="134">
        <v>45688</v>
      </c>
      <c r="J4" s="1" t="s">
        <v>445</v>
      </c>
      <c r="K4" s="1" t="s">
        <v>642</v>
      </c>
      <c r="L4" s="1"/>
      <c r="M4" s="1"/>
    </row>
    <row r="5" spans="1:13" hidden="1" x14ac:dyDescent="0.25">
      <c r="A5" s="1" t="s">
        <v>374</v>
      </c>
      <c r="B5" s="1" t="s">
        <v>381</v>
      </c>
      <c r="C5" s="1" t="s">
        <v>643</v>
      </c>
      <c r="D5" s="1" t="s">
        <v>95</v>
      </c>
      <c r="E5" s="1" t="s">
        <v>644</v>
      </c>
      <c r="F5" s="1" t="s">
        <v>96</v>
      </c>
      <c r="G5" s="134">
        <v>45272</v>
      </c>
      <c r="H5" s="134">
        <v>45273</v>
      </c>
      <c r="I5" s="134">
        <v>45504</v>
      </c>
      <c r="J5" s="1" t="s">
        <v>445</v>
      </c>
      <c r="K5" s="1" t="s">
        <v>642</v>
      </c>
      <c r="L5" s="1"/>
      <c r="M5" s="1"/>
    </row>
    <row r="6" spans="1:13" hidden="1" x14ac:dyDescent="0.25">
      <c r="A6" s="1" t="s">
        <v>374</v>
      </c>
      <c r="B6" s="1" t="s">
        <v>381</v>
      </c>
      <c r="C6" s="1" t="s">
        <v>645</v>
      </c>
      <c r="D6" s="1" t="s">
        <v>95</v>
      </c>
      <c r="E6" s="1" t="s">
        <v>646</v>
      </c>
      <c r="F6" s="1" t="s">
        <v>96</v>
      </c>
      <c r="G6" s="134">
        <v>45272</v>
      </c>
      <c r="H6" s="134">
        <v>45273</v>
      </c>
      <c r="I6" s="134">
        <v>45660</v>
      </c>
      <c r="J6" s="1" t="s">
        <v>445</v>
      </c>
      <c r="K6" s="1" t="s">
        <v>642</v>
      </c>
      <c r="L6" s="1"/>
      <c r="M6" s="1"/>
    </row>
    <row r="7" spans="1:13" hidden="1" x14ac:dyDescent="0.25">
      <c r="A7" s="1" t="s">
        <v>374</v>
      </c>
      <c r="B7" s="1" t="s">
        <v>381</v>
      </c>
      <c r="C7" s="1" t="s">
        <v>647</v>
      </c>
      <c r="D7" s="1" t="s">
        <v>95</v>
      </c>
      <c r="E7" s="1" t="s">
        <v>648</v>
      </c>
      <c r="F7" s="1" t="s">
        <v>96</v>
      </c>
      <c r="G7" s="134">
        <v>45272</v>
      </c>
      <c r="H7" s="134">
        <v>45273</v>
      </c>
      <c r="I7" s="134">
        <v>45596</v>
      </c>
      <c r="J7" s="1" t="s">
        <v>445</v>
      </c>
      <c r="K7" s="1" t="s">
        <v>642</v>
      </c>
      <c r="L7" s="1"/>
      <c r="M7" s="1"/>
    </row>
    <row r="8" spans="1:13" hidden="1" x14ac:dyDescent="0.25">
      <c r="A8" s="1" t="s">
        <v>374</v>
      </c>
      <c r="B8" s="1" t="s">
        <v>381</v>
      </c>
      <c r="C8" s="1" t="s">
        <v>649</v>
      </c>
      <c r="D8" s="1" t="s">
        <v>95</v>
      </c>
      <c r="E8" s="1" t="s">
        <v>650</v>
      </c>
      <c r="F8" s="1" t="s">
        <v>96</v>
      </c>
      <c r="G8" s="134">
        <v>45272</v>
      </c>
      <c r="H8" s="134">
        <v>45273</v>
      </c>
      <c r="I8" s="134">
        <v>45504</v>
      </c>
      <c r="J8" s="1" t="s">
        <v>445</v>
      </c>
      <c r="K8" s="1" t="s">
        <v>642</v>
      </c>
      <c r="L8" s="1"/>
      <c r="M8" s="1"/>
    </row>
    <row r="9" spans="1:13" hidden="1" x14ac:dyDescent="0.25">
      <c r="A9" s="1" t="s">
        <v>374</v>
      </c>
      <c r="B9" s="1" t="s">
        <v>381</v>
      </c>
      <c r="C9" s="1" t="s">
        <v>651</v>
      </c>
      <c r="D9" s="1" t="s">
        <v>95</v>
      </c>
      <c r="E9" s="1" t="s">
        <v>652</v>
      </c>
      <c r="F9" s="1" t="s">
        <v>96</v>
      </c>
      <c r="G9" s="134">
        <v>45272</v>
      </c>
      <c r="H9" s="134">
        <v>45273</v>
      </c>
      <c r="I9" s="134">
        <v>45507</v>
      </c>
      <c r="J9" s="1" t="s">
        <v>445</v>
      </c>
      <c r="K9" s="1" t="s">
        <v>642</v>
      </c>
      <c r="L9" s="1"/>
      <c r="M9" s="1"/>
    </row>
    <row r="10" spans="1:13" hidden="1" x14ac:dyDescent="0.25">
      <c r="A10" s="1" t="s">
        <v>374</v>
      </c>
      <c r="B10" s="1" t="s">
        <v>381</v>
      </c>
      <c r="C10" s="1" t="s">
        <v>653</v>
      </c>
      <c r="D10" s="1" t="s">
        <v>95</v>
      </c>
      <c r="E10" s="1" t="s">
        <v>654</v>
      </c>
      <c r="F10" s="1" t="s">
        <v>96</v>
      </c>
      <c r="G10" s="134">
        <v>45272</v>
      </c>
      <c r="H10" s="134">
        <v>45273</v>
      </c>
      <c r="I10" s="134">
        <v>45596</v>
      </c>
      <c r="J10" s="1" t="s">
        <v>445</v>
      </c>
      <c r="K10" s="1" t="s">
        <v>642</v>
      </c>
      <c r="L10" s="1"/>
      <c r="M10" s="1"/>
    </row>
    <row r="11" spans="1:13" hidden="1" x14ac:dyDescent="0.25">
      <c r="A11" s="1" t="s">
        <v>374</v>
      </c>
      <c r="B11" s="1" t="s">
        <v>381</v>
      </c>
      <c r="C11" s="1" t="s">
        <v>655</v>
      </c>
      <c r="D11" s="1" t="s">
        <v>95</v>
      </c>
      <c r="E11" s="1" t="s">
        <v>656</v>
      </c>
      <c r="F11" s="1" t="s">
        <v>96</v>
      </c>
      <c r="G11" s="134">
        <v>45272</v>
      </c>
      <c r="H11" s="134">
        <v>45273</v>
      </c>
      <c r="I11" s="134">
        <v>45507</v>
      </c>
      <c r="J11" s="1" t="s">
        <v>445</v>
      </c>
      <c r="K11" s="1" t="s">
        <v>642</v>
      </c>
      <c r="L11" s="1"/>
      <c r="M11" s="1"/>
    </row>
    <row r="12" spans="1:13" ht="39.6" x14ac:dyDescent="0.25">
      <c r="A12" s="142" t="s">
        <v>51</v>
      </c>
      <c r="B12" s="142"/>
      <c r="C12" s="142" t="s">
        <v>657</v>
      </c>
      <c r="D12" s="142" t="s">
        <v>658</v>
      </c>
      <c r="E12" s="142" t="s">
        <v>659</v>
      </c>
      <c r="F12" s="142" t="s">
        <v>97</v>
      </c>
      <c r="G12" s="143">
        <v>45406</v>
      </c>
      <c r="H12" s="143">
        <v>45988</v>
      </c>
      <c r="I12" s="143">
        <v>46022</v>
      </c>
      <c r="J12" s="142" t="s">
        <v>990</v>
      </c>
      <c r="K12" s="142" t="s">
        <v>660</v>
      </c>
      <c r="L12" s="142"/>
      <c r="M12" s="144" t="s">
        <v>661</v>
      </c>
    </row>
    <row r="13" spans="1:13" ht="39.6" x14ac:dyDescent="0.25">
      <c r="A13" s="142" t="s">
        <v>51</v>
      </c>
      <c r="B13" s="142"/>
      <c r="C13" s="142" t="s">
        <v>662</v>
      </c>
      <c r="D13" s="142" t="s">
        <v>658</v>
      </c>
      <c r="E13" s="142" t="s">
        <v>663</v>
      </c>
      <c r="F13" s="142" t="s">
        <v>97</v>
      </c>
      <c r="G13" s="143">
        <v>45526</v>
      </c>
      <c r="H13" s="143">
        <v>45644</v>
      </c>
      <c r="I13" s="143">
        <v>46022</v>
      </c>
      <c r="J13" s="142" t="s">
        <v>457</v>
      </c>
      <c r="K13" s="142" t="s">
        <v>86</v>
      </c>
      <c r="L13" s="142"/>
      <c r="M13" s="144" t="s">
        <v>661</v>
      </c>
    </row>
    <row r="14" spans="1:13" hidden="1" x14ac:dyDescent="0.25">
      <c r="A14" s="1" t="s">
        <v>380</v>
      </c>
      <c r="B14" s="1"/>
      <c r="C14" s="1" t="s">
        <v>665</v>
      </c>
      <c r="D14" s="1" t="s">
        <v>658</v>
      </c>
      <c r="E14" s="1" t="s">
        <v>666</v>
      </c>
      <c r="F14" s="1" t="s">
        <v>96</v>
      </c>
      <c r="G14" s="134">
        <v>45749</v>
      </c>
      <c r="H14" s="134">
        <v>45765</v>
      </c>
      <c r="I14" s="134">
        <v>45800</v>
      </c>
      <c r="J14" s="1" t="s">
        <v>480</v>
      </c>
      <c r="K14" s="1" t="s">
        <v>597</v>
      </c>
      <c r="L14" s="1"/>
      <c r="M14" s="1"/>
    </row>
    <row r="15" spans="1:13" hidden="1" x14ac:dyDescent="0.25">
      <c r="A15" s="1" t="s">
        <v>380</v>
      </c>
      <c r="B15" s="1" t="s">
        <v>476</v>
      </c>
      <c r="C15" s="1" t="s">
        <v>667</v>
      </c>
      <c r="D15" s="1" t="s">
        <v>95</v>
      </c>
      <c r="E15" s="1" t="s">
        <v>668</v>
      </c>
      <c r="F15" s="1" t="s">
        <v>96</v>
      </c>
      <c r="G15" s="134">
        <v>45749</v>
      </c>
      <c r="H15" s="134">
        <v>45765</v>
      </c>
      <c r="I15" s="134">
        <v>45800</v>
      </c>
      <c r="J15" s="1" t="s">
        <v>480</v>
      </c>
      <c r="K15" s="1" t="s">
        <v>597</v>
      </c>
      <c r="L15" s="1"/>
      <c r="M15" s="1"/>
    </row>
    <row r="16" spans="1:13" hidden="1" x14ac:dyDescent="0.25">
      <c r="A16" s="1" t="s">
        <v>51</v>
      </c>
      <c r="B16" s="1" t="s">
        <v>82</v>
      </c>
      <c r="C16" s="1" t="s">
        <v>669</v>
      </c>
      <c r="D16" s="1" t="s">
        <v>95</v>
      </c>
      <c r="E16" s="1" t="s">
        <v>670</v>
      </c>
      <c r="F16" s="1" t="s">
        <v>96</v>
      </c>
      <c r="G16" s="134">
        <v>45757</v>
      </c>
      <c r="H16" s="134">
        <v>45716</v>
      </c>
      <c r="I16" s="134">
        <v>45765</v>
      </c>
      <c r="J16" s="1" t="s">
        <v>432</v>
      </c>
      <c r="K16" s="1" t="s">
        <v>671</v>
      </c>
      <c r="L16" s="1"/>
      <c r="M16" s="1"/>
    </row>
    <row r="17" spans="1:13" hidden="1" x14ac:dyDescent="0.25">
      <c r="A17" s="1" t="s">
        <v>51</v>
      </c>
      <c r="B17" s="1" t="s">
        <v>82</v>
      </c>
      <c r="C17" s="1" t="s">
        <v>672</v>
      </c>
      <c r="D17" s="1" t="s">
        <v>95</v>
      </c>
      <c r="E17" s="1" t="s">
        <v>673</v>
      </c>
      <c r="F17" s="1" t="s">
        <v>96</v>
      </c>
      <c r="G17" s="134">
        <v>45782</v>
      </c>
      <c r="H17" s="134">
        <v>45784</v>
      </c>
      <c r="I17" s="134">
        <v>45786</v>
      </c>
      <c r="J17" s="1" t="s">
        <v>447</v>
      </c>
      <c r="K17" s="1" t="s">
        <v>639</v>
      </c>
      <c r="L17" s="1"/>
      <c r="M17" s="1"/>
    </row>
    <row r="18" spans="1:13" ht="52.8" x14ac:dyDescent="0.25">
      <c r="A18" s="149" t="s">
        <v>375</v>
      </c>
      <c r="B18" s="149" t="s">
        <v>535</v>
      </c>
      <c r="C18" s="149" t="s">
        <v>674</v>
      </c>
      <c r="D18" s="149" t="s">
        <v>658</v>
      </c>
      <c r="E18" s="149" t="s">
        <v>675</v>
      </c>
      <c r="F18" s="149" t="s">
        <v>99</v>
      </c>
      <c r="G18" s="150">
        <v>45817</v>
      </c>
      <c r="H18" s="150">
        <v>45870</v>
      </c>
      <c r="I18" s="150">
        <v>45981</v>
      </c>
      <c r="J18" s="149" t="s">
        <v>445</v>
      </c>
      <c r="K18" s="149" t="s">
        <v>613</v>
      </c>
      <c r="L18" s="149"/>
      <c r="M18" s="151" t="s">
        <v>664</v>
      </c>
    </row>
    <row r="19" spans="1:13" hidden="1" x14ac:dyDescent="0.25">
      <c r="A19" s="1" t="s">
        <v>375</v>
      </c>
      <c r="B19" s="1" t="s">
        <v>535</v>
      </c>
      <c r="C19" s="1" t="s">
        <v>676</v>
      </c>
      <c r="D19" s="1" t="s">
        <v>658</v>
      </c>
      <c r="E19" s="1" t="s">
        <v>677</v>
      </c>
      <c r="F19" s="1" t="s">
        <v>96</v>
      </c>
      <c r="G19" s="134">
        <v>45821</v>
      </c>
      <c r="H19" s="134">
        <v>45849</v>
      </c>
      <c r="I19" s="134">
        <v>45968</v>
      </c>
      <c r="J19" s="1" t="s">
        <v>445</v>
      </c>
      <c r="K19" s="1" t="s">
        <v>613</v>
      </c>
      <c r="L19" s="1"/>
      <c r="M19" s="1"/>
    </row>
    <row r="20" spans="1:13" hidden="1" x14ac:dyDescent="0.25">
      <c r="A20" s="1" t="s">
        <v>375</v>
      </c>
      <c r="B20" s="1" t="s">
        <v>381</v>
      </c>
      <c r="C20" s="1" t="s">
        <v>678</v>
      </c>
      <c r="D20" s="1" t="s">
        <v>95</v>
      </c>
      <c r="E20" s="1" t="s">
        <v>679</v>
      </c>
      <c r="F20" s="1" t="s">
        <v>97</v>
      </c>
      <c r="G20" s="134">
        <v>45825</v>
      </c>
      <c r="H20" s="134">
        <v>45835</v>
      </c>
      <c r="I20" s="134">
        <v>46018</v>
      </c>
      <c r="J20" s="1" t="s">
        <v>445</v>
      </c>
      <c r="K20" s="1" t="s">
        <v>613</v>
      </c>
      <c r="L20" s="1"/>
      <c r="M20" s="1"/>
    </row>
    <row r="21" spans="1:13" hidden="1" x14ac:dyDescent="0.25">
      <c r="A21" s="1" t="s">
        <v>375</v>
      </c>
      <c r="B21" s="1" t="s">
        <v>381</v>
      </c>
      <c r="C21" s="1" t="s">
        <v>680</v>
      </c>
      <c r="D21" s="1" t="s">
        <v>95</v>
      </c>
      <c r="E21" s="1" t="s">
        <v>681</v>
      </c>
      <c r="F21" s="1" t="s">
        <v>97</v>
      </c>
      <c r="G21" s="134">
        <v>45826</v>
      </c>
      <c r="H21" s="134">
        <v>45835</v>
      </c>
      <c r="I21" s="134">
        <v>46022</v>
      </c>
      <c r="J21" s="1" t="s">
        <v>540</v>
      </c>
      <c r="K21" s="1" t="s">
        <v>682</v>
      </c>
      <c r="L21" s="1"/>
      <c r="M21" s="1"/>
    </row>
    <row r="22" spans="1:13" hidden="1" x14ac:dyDescent="0.25">
      <c r="A22" s="1" t="s">
        <v>375</v>
      </c>
      <c r="B22" s="1" t="s">
        <v>381</v>
      </c>
      <c r="C22" s="1" t="s">
        <v>683</v>
      </c>
      <c r="D22" s="1" t="s">
        <v>95</v>
      </c>
      <c r="E22" s="1" t="s">
        <v>684</v>
      </c>
      <c r="F22" s="1" t="s">
        <v>97</v>
      </c>
      <c r="G22" s="134">
        <v>45826</v>
      </c>
      <c r="H22" s="134">
        <v>45835</v>
      </c>
      <c r="I22" s="134">
        <v>46022</v>
      </c>
      <c r="J22" s="1" t="s">
        <v>572</v>
      </c>
      <c r="K22" s="1" t="s">
        <v>685</v>
      </c>
      <c r="L22" s="1"/>
      <c r="M22" s="1"/>
    </row>
    <row r="23" spans="1:13" hidden="1" x14ac:dyDescent="0.25">
      <c r="A23" s="1" t="s">
        <v>375</v>
      </c>
      <c r="B23" s="1" t="s">
        <v>381</v>
      </c>
      <c r="C23" s="1" t="s">
        <v>686</v>
      </c>
      <c r="D23" s="1" t="s">
        <v>95</v>
      </c>
      <c r="E23" s="1" t="s">
        <v>687</v>
      </c>
      <c r="F23" s="1" t="s">
        <v>97</v>
      </c>
      <c r="G23" s="134">
        <v>45826</v>
      </c>
      <c r="H23" s="134">
        <v>45835</v>
      </c>
      <c r="I23" s="134">
        <v>46022</v>
      </c>
      <c r="J23" s="1" t="s">
        <v>572</v>
      </c>
      <c r="K23" s="1" t="s">
        <v>685</v>
      </c>
      <c r="L23" s="1"/>
      <c r="M23" s="1"/>
    </row>
    <row r="24" spans="1:13" hidden="1" x14ac:dyDescent="0.25">
      <c r="A24" s="1" t="s">
        <v>375</v>
      </c>
      <c r="B24" s="1" t="s">
        <v>381</v>
      </c>
      <c r="C24" s="1" t="s">
        <v>688</v>
      </c>
      <c r="D24" s="1" t="s">
        <v>95</v>
      </c>
      <c r="E24" s="1" t="s">
        <v>689</v>
      </c>
      <c r="F24" s="1" t="s">
        <v>97</v>
      </c>
      <c r="G24" s="134">
        <v>45826</v>
      </c>
      <c r="H24" s="134">
        <v>45835</v>
      </c>
      <c r="I24" s="134">
        <v>46022</v>
      </c>
      <c r="J24" s="1" t="s">
        <v>572</v>
      </c>
      <c r="K24" s="1" t="s">
        <v>685</v>
      </c>
      <c r="L24" s="1"/>
      <c r="M24" s="1"/>
    </row>
    <row r="25" spans="1:13" hidden="1" x14ac:dyDescent="0.25">
      <c r="A25" s="1" t="s">
        <v>375</v>
      </c>
      <c r="B25" s="1" t="s">
        <v>381</v>
      </c>
      <c r="C25" s="1" t="s">
        <v>690</v>
      </c>
      <c r="D25" s="1" t="s">
        <v>95</v>
      </c>
      <c r="E25" s="1" t="s">
        <v>691</v>
      </c>
      <c r="F25" s="1" t="s">
        <v>97</v>
      </c>
      <c r="G25" s="134">
        <v>45826</v>
      </c>
      <c r="H25" s="134">
        <v>45835</v>
      </c>
      <c r="I25" s="134">
        <v>46022</v>
      </c>
      <c r="J25" s="1" t="s">
        <v>572</v>
      </c>
      <c r="K25" s="1" t="s">
        <v>685</v>
      </c>
      <c r="L25" s="1"/>
      <c r="M25" s="1"/>
    </row>
    <row r="26" spans="1:13" hidden="1" x14ac:dyDescent="0.25">
      <c r="A26" s="1" t="s">
        <v>375</v>
      </c>
      <c r="B26" s="1" t="s">
        <v>381</v>
      </c>
      <c r="C26" s="1" t="s">
        <v>692</v>
      </c>
      <c r="D26" s="1" t="s">
        <v>95</v>
      </c>
      <c r="E26" s="1" t="s">
        <v>693</v>
      </c>
      <c r="F26" s="1" t="s">
        <v>97</v>
      </c>
      <c r="G26" s="134">
        <v>45826</v>
      </c>
      <c r="H26" s="134">
        <v>45835</v>
      </c>
      <c r="I26" s="134">
        <v>46022</v>
      </c>
      <c r="J26" s="1" t="s">
        <v>540</v>
      </c>
      <c r="K26" s="1" t="s">
        <v>682</v>
      </c>
      <c r="L26" s="1"/>
      <c r="M26" s="1"/>
    </row>
    <row r="27" spans="1:13" hidden="1" x14ac:dyDescent="0.25">
      <c r="A27" s="1" t="s">
        <v>375</v>
      </c>
      <c r="B27" s="1" t="s">
        <v>381</v>
      </c>
      <c r="C27" s="1" t="s">
        <v>694</v>
      </c>
      <c r="D27" s="1" t="s">
        <v>95</v>
      </c>
      <c r="E27" s="1" t="s">
        <v>695</v>
      </c>
      <c r="F27" s="1" t="s">
        <v>97</v>
      </c>
      <c r="G27" s="134">
        <v>45827</v>
      </c>
      <c r="H27" s="134">
        <v>45835</v>
      </c>
      <c r="I27" s="134">
        <v>46022</v>
      </c>
      <c r="J27" s="1" t="s">
        <v>540</v>
      </c>
      <c r="K27" s="1" t="s">
        <v>682</v>
      </c>
      <c r="L27" s="1"/>
      <c r="M27" s="1"/>
    </row>
    <row r="28" spans="1:13" hidden="1" x14ac:dyDescent="0.25">
      <c r="A28" s="1" t="s">
        <v>375</v>
      </c>
      <c r="B28" s="1" t="s">
        <v>381</v>
      </c>
      <c r="C28" s="1" t="s">
        <v>696</v>
      </c>
      <c r="D28" s="1" t="s">
        <v>95</v>
      </c>
      <c r="E28" s="1" t="s">
        <v>697</v>
      </c>
      <c r="F28" s="1" t="s">
        <v>97</v>
      </c>
      <c r="G28" s="134">
        <v>45827</v>
      </c>
      <c r="H28" s="134">
        <v>45835</v>
      </c>
      <c r="I28" s="134">
        <v>46022</v>
      </c>
      <c r="J28" s="1" t="s">
        <v>540</v>
      </c>
      <c r="K28" s="1" t="s">
        <v>682</v>
      </c>
      <c r="L28" s="1"/>
      <c r="M28" s="1"/>
    </row>
    <row r="29" spans="1:13" hidden="1" x14ac:dyDescent="0.25">
      <c r="A29" s="1" t="s">
        <v>375</v>
      </c>
      <c r="B29" s="1" t="s">
        <v>381</v>
      </c>
      <c r="C29" s="1" t="s">
        <v>698</v>
      </c>
      <c r="D29" s="1" t="s">
        <v>95</v>
      </c>
      <c r="E29" s="1" t="s">
        <v>699</v>
      </c>
      <c r="F29" s="1" t="s">
        <v>97</v>
      </c>
      <c r="G29" s="134">
        <v>45827</v>
      </c>
      <c r="H29" s="134">
        <v>45835</v>
      </c>
      <c r="I29" s="134">
        <v>46022</v>
      </c>
      <c r="J29" s="1" t="s">
        <v>540</v>
      </c>
      <c r="K29" s="1" t="s">
        <v>682</v>
      </c>
      <c r="L29" s="1"/>
      <c r="M29" s="1"/>
    </row>
    <row r="30" spans="1:13" hidden="1" x14ac:dyDescent="0.25">
      <c r="A30" s="1" t="s">
        <v>375</v>
      </c>
      <c r="B30" s="1" t="s">
        <v>381</v>
      </c>
      <c r="C30" s="1" t="s">
        <v>700</v>
      </c>
      <c r="D30" s="1" t="s">
        <v>95</v>
      </c>
      <c r="E30" s="1" t="s">
        <v>701</v>
      </c>
      <c r="F30" s="1" t="s">
        <v>97</v>
      </c>
      <c r="G30" s="134">
        <v>45827</v>
      </c>
      <c r="H30" s="134">
        <v>45835</v>
      </c>
      <c r="I30" s="134">
        <v>46022</v>
      </c>
      <c r="J30" s="1" t="s">
        <v>572</v>
      </c>
      <c r="K30" s="1" t="s">
        <v>685</v>
      </c>
      <c r="L30" s="1"/>
      <c r="M30" s="1"/>
    </row>
    <row r="31" spans="1:13" hidden="1" x14ac:dyDescent="0.25">
      <c r="A31" s="1" t="s">
        <v>375</v>
      </c>
      <c r="B31" s="1" t="s">
        <v>381</v>
      </c>
      <c r="C31" s="1" t="s">
        <v>702</v>
      </c>
      <c r="D31" s="1" t="s">
        <v>95</v>
      </c>
      <c r="E31" s="1" t="s">
        <v>703</v>
      </c>
      <c r="F31" s="1" t="s">
        <v>97</v>
      </c>
      <c r="G31" s="134">
        <v>45827</v>
      </c>
      <c r="H31" s="134">
        <v>45835</v>
      </c>
      <c r="I31" s="134">
        <v>46022</v>
      </c>
      <c r="J31" s="1" t="s">
        <v>572</v>
      </c>
      <c r="K31" s="1" t="s">
        <v>685</v>
      </c>
      <c r="L31" s="1"/>
      <c r="M31" s="1"/>
    </row>
    <row r="32" spans="1:13" hidden="1" x14ac:dyDescent="0.25">
      <c r="A32" s="1" t="s">
        <v>375</v>
      </c>
      <c r="B32" s="1" t="s">
        <v>381</v>
      </c>
      <c r="C32" s="1" t="s">
        <v>704</v>
      </c>
      <c r="D32" s="1" t="s">
        <v>95</v>
      </c>
      <c r="E32" s="1" t="s">
        <v>705</v>
      </c>
      <c r="F32" s="1" t="s">
        <v>97</v>
      </c>
      <c r="G32" s="134">
        <v>45827</v>
      </c>
      <c r="H32" s="134">
        <v>45835</v>
      </c>
      <c r="I32" s="134">
        <v>46022</v>
      </c>
      <c r="J32" s="1" t="s">
        <v>572</v>
      </c>
      <c r="K32" s="1" t="s">
        <v>685</v>
      </c>
      <c r="L32" s="1"/>
      <c r="M32" s="1"/>
    </row>
    <row r="33" spans="1:13" hidden="1" x14ac:dyDescent="0.25">
      <c r="A33" s="1" t="s">
        <v>375</v>
      </c>
      <c r="B33" s="1" t="s">
        <v>381</v>
      </c>
      <c r="C33" s="1" t="s">
        <v>706</v>
      </c>
      <c r="D33" s="1" t="s">
        <v>95</v>
      </c>
      <c r="E33" s="1" t="s">
        <v>707</v>
      </c>
      <c r="F33" s="1" t="s">
        <v>97</v>
      </c>
      <c r="G33" s="134">
        <v>45827</v>
      </c>
      <c r="H33" s="134">
        <v>45835</v>
      </c>
      <c r="I33" s="134">
        <v>46022</v>
      </c>
      <c r="J33" s="1" t="s">
        <v>572</v>
      </c>
      <c r="K33" s="1" t="s">
        <v>685</v>
      </c>
      <c r="L33" s="1"/>
      <c r="M33" s="1"/>
    </row>
    <row r="34" spans="1:13" hidden="1" x14ac:dyDescent="0.25">
      <c r="A34" s="1" t="s">
        <v>375</v>
      </c>
      <c r="B34" s="1" t="s">
        <v>381</v>
      </c>
      <c r="C34" s="1" t="s">
        <v>708</v>
      </c>
      <c r="D34" s="1" t="s">
        <v>95</v>
      </c>
      <c r="E34" s="1" t="s">
        <v>709</v>
      </c>
      <c r="F34" s="1" t="s">
        <v>97</v>
      </c>
      <c r="G34" s="134">
        <v>45827</v>
      </c>
      <c r="H34" s="134">
        <v>45835</v>
      </c>
      <c r="I34" s="134">
        <v>46022</v>
      </c>
      <c r="J34" s="1" t="s">
        <v>572</v>
      </c>
      <c r="K34" s="1" t="s">
        <v>685</v>
      </c>
      <c r="L34" s="1"/>
      <c r="M34" s="1"/>
    </row>
    <row r="35" spans="1:13" hidden="1" x14ac:dyDescent="0.25">
      <c r="A35" s="1" t="s">
        <v>375</v>
      </c>
      <c r="B35" s="1" t="s">
        <v>381</v>
      </c>
      <c r="C35" s="1" t="s">
        <v>710</v>
      </c>
      <c r="D35" s="1" t="s">
        <v>95</v>
      </c>
      <c r="E35" s="1" t="s">
        <v>711</v>
      </c>
      <c r="F35" s="1" t="s">
        <v>97</v>
      </c>
      <c r="G35" s="134">
        <v>45827</v>
      </c>
      <c r="H35" s="134">
        <v>45835</v>
      </c>
      <c r="I35" s="134">
        <v>46022</v>
      </c>
      <c r="J35" s="1" t="s">
        <v>572</v>
      </c>
      <c r="K35" s="1" t="s">
        <v>685</v>
      </c>
      <c r="L35" s="1"/>
      <c r="M35" s="1"/>
    </row>
    <row r="36" spans="1:13" hidden="1" x14ac:dyDescent="0.25">
      <c r="A36" s="1" t="s">
        <v>375</v>
      </c>
      <c r="B36" s="1" t="s">
        <v>381</v>
      </c>
      <c r="C36" s="1" t="s">
        <v>712</v>
      </c>
      <c r="D36" s="1" t="s">
        <v>95</v>
      </c>
      <c r="E36" s="1" t="s">
        <v>713</v>
      </c>
      <c r="F36" s="1" t="s">
        <v>97</v>
      </c>
      <c r="G36" s="134">
        <v>45828</v>
      </c>
      <c r="H36" s="134">
        <v>45835</v>
      </c>
      <c r="I36" s="134">
        <v>46022</v>
      </c>
      <c r="J36" s="1" t="s">
        <v>572</v>
      </c>
      <c r="K36" s="1" t="s">
        <v>685</v>
      </c>
      <c r="L36" s="1"/>
      <c r="M36" s="1"/>
    </row>
    <row r="37" spans="1:13" hidden="1" x14ac:dyDescent="0.25">
      <c r="A37" s="1" t="s">
        <v>375</v>
      </c>
      <c r="B37" s="1" t="s">
        <v>381</v>
      </c>
      <c r="C37" s="1" t="s">
        <v>714</v>
      </c>
      <c r="D37" s="1" t="s">
        <v>95</v>
      </c>
      <c r="E37" s="1" t="s">
        <v>715</v>
      </c>
      <c r="F37" s="1" t="s">
        <v>97</v>
      </c>
      <c r="G37" s="134">
        <v>45828</v>
      </c>
      <c r="H37" s="134">
        <v>45835</v>
      </c>
      <c r="I37" s="134">
        <v>46022</v>
      </c>
      <c r="J37" s="1" t="s">
        <v>572</v>
      </c>
      <c r="K37" s="1" t="s">
        <v>685</v>
      </c>
      <c r="L37" s="1"/>
      <c r="M37" s="1"/>
    </row>
    <row r="38" spans="1:13" hidden="1" x14ac:dyDescent="0.25">
      <c r="A38" s="1" t="s">
        <v>375</v>
      </c>
      <c r="B38" s="1" t="s">
        <v>381</v>
      </c>
      <c r="C38" s="1" t="s">
        <v>716</v>
      </c>
      <c r="D38" s="1" t="s">
        <v>95</v>
      </c>
      <c r="E38" s="1" t="s">
        <v>717</v>
      </c>
      <c r="F38" s="1" t="s">
        <v>97</v>
      </c>
      <c r="G38" s="134">
        <v>45828</v>
      </c>
      <c r="H38" s="134">
        <v>45835</v>
      </c>
      <c r="I38" s="134">
        <v>46022</v>
      </c>
      <c r="J38" s="1" t="s">
        <v>572</v>
      </c>
      <c r="K38" s="1" t="s">
        <v>685</v>
      </c>
      <c r="L38" s="1"/>
      <c r="M38" s="1"/>
    </row>
    <row r="39" spans="1:13" hidden="1" x14ac:dyDescent="0.25">
      <c r="A39" s="1" t="s">
        <v>375</v>
      </c>
      <c r="B39" s="1" t="s">
        <v>381</v>
      </c>
      <c r="C39" s="1" t="s">
        <v>718</v>
      </c>
      <c r="D39" s="1" t="s">
        <v>95</v>
      </c>
      <c r="E39" s="1" t="s">
        <v>719</v>
      </c>
      <c r="F39" s="1" t="s">
        <v>97</v>
      </c>
      <c r="G39" s="134">
        <v>45828</v>
      </c>
      <c r="H39" s="134">
        <v>45835</v>
      </c>
      <c r="I39" s="134">
        <v>46022</v>
      </c>
      <c r="J39" s="1" t="s">
        <v>572</v>
      </c>
      <c r="K39" s="1" t="s">
        <v>685</v>
      </c>
      <c r="L39" s="1"/>
      <c r="M39" s="1"/>
    </row>
    <row r="40" spans="1:13" hidden="1" x14ac:dyDescent="0.25">
      <c r="A40" s="1" t="s">
        <v>375</v>
      </c>
      <c r="B40" s="1" t="s">
        <v>381</v>
      </c>
      <c r="C40" s="1" t="s">
        <v>720</v>
      </c>
      <c r="D40" s="1" t="s">
        <v>95</v>
      </c>
      <c r="E40" s="1" t="s">
        <v>721</v>
      </c>
      <c r="F40" s="1" t="s">
        <v>97</v>
      </c>
      <c r="G40" s="134">
        <v>45828</v>
      </c>
      <c r="H40" s="134">
        <v>45835</v>
      </c>
      <c r="I40" s="134">
        <v>46022</v>
      </c>
      <c r="J40" s="1" t="s">
        <v>572</v>
      </c>
      <c r="K40" s="1" t="s">
        <v>685</v>
      </c>
      <c r="L40" s="1"/>
      <c r="M40" s="1"/>
    </row>
    <row r="41" spans="1:13" hidden="1" x14ac:dyDescent="0.25">
      <c r="A41" s="1" t="s">
        <v>375</v>
      </c>
      <c r="B41" s="1" t="s">
        <v>381</v>
      </c>
      <c r="C41" s="1" t="s">
        <v>722</v>
      </c>
      <c r="D41" s="1" t="s">
        <v>95</v>
      </c>
      <c r="E41" s="1" t="s">
        <v>723</v>
      </c>
      <c r="F41" s="1" t="s">
        <v>97</v>
      </c>
      <c r="G41" s="134">
        <v>45828</v>
      </c>
      <c r="H41" s="134">
        <v>45835</v>
      </c>
      <c r="I41" s="134">
        <v>46022</v>
      </c>
      <c r="J41" s="1" t="s">
        <v>540</v>
      </c>
      <c r="K41" s="1" t="s">
        <v>682</v>
      </c>
      <c r="L41" s="1"/>
      <c r="M41" s="1"/>
    </row>
    <row r="42" spans="1:13" hidden="1" x14ac:dyDescent="0.25">
      <c r="A42" s="1" t="s">
        <v>375</v>
      </c>
      <c r="B42" s="1" t="s">
        <v>381</v>
      </c>
      <c r="C42" s="1" t="s">
        <v>724</v>
      </c>
      <c r="D42" s="1" t="s">
        <v>95</v>
      </c>
      <c r="E42" s="1" t="s">
        <v>725</v>
      </c>
      <c r="F42" s="1" t="s">
        <v>97</v>
      </c>
      <c r="G42" s="134">
        <v>45828</v>
      </c>
      <c r="H42" s="134">
        <v>45835</v>
      </c>
      <c r="I42" s="134">
        <v>46022</v>
      </c>
      <c r="J42" s="1" t="s">
        <v>540</v>
      </c>
      <c r="K42" s="1" t="s">
        <v>682</v>
      </c>
      <c r="L42" s="1"/>
      <c r="M42" s="1"/>
    </row>
    <row r="43" spans="1:13" hidden="1" x14ac:dyDescent="0.25">
      <c r="A43" s="1" t="s">
        <v>375</v>
      </c>
      <c r="B43" s="1" t="s">
        <v>381</v>
      </c>
      <c r="C43" s="1" t="s">
        <v>726</v>
      </c>
      <c r="D43" s="1" t="s">
        <v>95</v>
      </c>
      <c r="E43" s="1" t="s">
        <v>727</v>
      </c>
      <c r="F43" s="1" t="s">
        <v>97</v>
      </c>
      <c r="G43" s="134">
        <v>45828</v>
      </c>
      <c r="H43" s="134">
        <v>45835</v>
      </c>
      <c r="I43" s="134">
        <v>46022</v>
      </c>
      <c r="J43" s="1" t="s">
        <v>572</v>
      </c>
      <c r="K43" s="1" t="s">
        <v>685</v>
      </c>
      <c r="L43" s="1"/>
      <c r="M43" s="1"/>
    </row>
    <row r="44" spans="1:13" hidden="1" x14ac:dyDescent="0.25">
      <c r="A44" s="1" t="s">
        <v>375</v>
      </c>
      <c r="B44" s="1" t="s">
        <v>381</v>
      </c>
      <c r="C44" s="1" t="s">
        <v>728</v>
      </c>
      <c r="D44" s="1" t="s">
        <v>95</v>
      </c>
      <c r="E44" s="1" t="s">
        <v>729</v>
      </c>
      <c r="F44" s="1" t="s">
        <v>97</v>
      </c>
      <c r="G44" s="134">
        <v>45828</v>
      </c>
      <c r="H44" s="134">
        <v>45835</v>
      </c>
      <c r="I44" s="134">
        <v>46022</v>
      </c>
      <c r="J44" s="1" t="s">
        <v>540</v>
      </c>
      <c r="K44" s="1" t="s">
        <v>682</v>
      </c>
      <c r="L44" s="1"/>
      <c r="M44" s="1"/>
    </row>
    <row r="45" spans="1:13" hidden="1" x14ac:dyDescent="0.25">
      <c r="A45" s="1" t="s">
        <v>375</v>
      </c>
      <c r="B45" s="1" t="s">
        <v>381</v>
      </c>
      <c r="C45" s="1" t="s">
        <v>730</v>
      </c>
      <c r="D45" s="1" t="s">
        <v>95</v>
      </c>
      <c r="E45" s="1" t="s">
        <v>731</v>
      </c>
      <c r="F45" s="1" t="s">
        <v>97</v>
      </c>
      <c r="G45" s="134">
        <v>45828</v>
      </c>
      <c r="H45" s="134">
        <v>45835</v>
      </c>
      <c r="I45" s="134">
        <v>46022</v>
      </c>
      <c r="J45" s="1" t="s">
        <v>540</v>
      </c>
      <c r="K45" s="1" t="s">
        <v>682</v>
      </c>
      <c r="L45" s="1"/>
      <c r="M45" s="1"/>
    </row>
    <row r="46" spans="1:13" hidden="1" x14ac:dyDescent="0.25">
      <c r="A46" s="1" t="s">
        <v>375</v>
      </c>
      <c r="B46" s="1" t="s">
        <v>381</v>
      </c>
      <c r="C46" s="1" t="s">
        <v>732</v>
      </c>
      <c r="D46" s="1" t="s">
        <v>95</v>
      </c>
      <c r="E46" s="1" t="s">
        <v>733</v>
      </c>
      <c r="F46" s="1" t="s">
        <v>97</v>
      </c>
      <c r="G46" s="134">
        <v>45828</v>
      </c>
      <c r="H46" s="134">
        <v>45835</v>
      </c>
      <c r="I46" s="134">
        <v>46022</v>
      </c>
      <c r="J46" s="1" t="s">
        <v>540</v>
      </c>
      <c r="K46" s="1" t="s">
        <v>682</v>
      </c>
      <c r="L46" s="1"/>
      <c r="M46" s="1"/>
    </row>
    <row r="47" spans="1:13" hidden="1" x14ac:dyDescent="0.25">
      <c r="A47" s="1" t="s">
        <v>375</v>
      </c>
      <c r="B47" s="1" t="s">
        <v>381</v>
      </c>
      <c r="C47" s="1" t="s">
        <v>734</v>
      </c>
      <c r="D47" s="1" t="s">
        <v>95</v>
      </c>
      <c r="E47" s="1" t="s">
        <v>735</v>
      </c>
      <c r="F47" s="1" t="s">
        <v>97</v>
      </c>
      <c r="G47" s="134">
        <v>45828</v>
      </c>
      <c r="H47" s="134">
        <v>45835</v>
      </c>
      <c r="I47" s="134">
        <v>46022</v>
      </c>
      <c r="J47" s="1" t="s">
        <v>540</v>
      </c>
      <c r="K47" s="1" t="s">
        <v>682</v>
      </c>
      <c r="L47" s="1"/>
      <c r="M47" s="1"/>
    </row>
    <row r="48" spans="1:13" hidden="1" x14ac:dyDescent="0.25">
      <c r="A48" s="1" t="s">
        <v>375</v>
      </c>
      <c r="B48" s="1" t="s">
        <v>381</v>
      </c>
      <c r="C48" s="1" t="s">
        <v>736</v>
      </c>
      <c r="D48" s="1" t="s">
        <v>95</v>
      </c>
      <c r="E48" s="1" t="s">
        <v>737</v>
      </c>
      <c r="F48" s="1" t="s">
        <v>97</v>
      </c>
      <c r="G48" s="134">
        <v>45828</v>
      </c>
      <c r="H48" s="134">
        <v>45835</v>
      </c>
      <c r="I48" s="134">
        <v>46022</v>
      </c>
      <c r="J48" s="1" t="s">
        <v>540</v>
      </c>
      <c r="K48" s="1" t="s">
        <v>682</v>
      </c>
      <c r="L48" s="1"/>
      <c r="M48" s="1"/>
    </row>
    <row r="49" spans="1:13" hidden="1" x14ac:dyDescent="0.25">
      <c r="A49" s="1" t="s">
        <v>375</v>
      </c>
      <c r="B49" s="1" t="s">
        <v>381</v>
      </c>
      <c r="C49" s="1" t="s">
        <v>738</v>
      </c>
      <c r="D49" s="1" t="s">
        <v>95</v>
      </c>
      <c r="E49" s="1" t="s">
        <v>739</v>
      </c>
      <c r="F49" s="1" t="s">
        <v>97</v>
      </c>
      <c r="G49" s="134">
        <v>45828</v>
      </c>
      <c r="H49" s="134">
        <v>45835</v>
      </c>
      <c r="I49" s="134">
        <v>46022</v>
      </c>
      <c r="J49" s="1" t="s">
        <v>540</v>
      </c>
      <c r="K49" s="1" t="s">
        <v>682</v>
      </c>
      <c r="L49" s="1"/>
      <c r="M49" s="1"/>
    </row>
    <row r="50" spans="1:13" hidden="1" x14ac:dyDescent="0.25">
      <c r="A50" s="1" t="s">
        <v>375</v>
      </c>
      <c r="B50" s="1" t="s">
        <v>381</v>
      </c>
      <c r="C50" s="1" t="s">
        <v>740</v>
      </c>
      <c r="D50" s="1" t="s">
        <v>95</v>
      </c>
      <c r="E50" s="1" t="s">
        <v>741</v>
      </c>
      <c r="F50" s="1" t="s">
        <v>97</v>
      </c>
      <c r="G50" s="134">
        <v>45829</v>
      </c>
      <c r="H50" s="134">
        <v>45835</v>
      </c>
      <c r="I50" s="134">
        <v>46022</v>
      </c>
      <c r="J50" s="1" t="s">
        <v>572</v>
      </c>
      <c r="K50" s="1" t="s">
        <v>685</v>
      </c>
      <c r="L50" s="1"/>
      <c r="M50" s="1"/>
    </row>
    <row r="51" spans="1:13" hidden="1" x14ac:dyDescent="0.25">
      <c r="A51" s="1" t="s">
        <v>375</v>
      </c>
      <c r="B51" s="1" t="s">
        <v>381</v>
      </c>
      <c r="C51" s="1" t="s">
        <v>742</v>
      </c>
      <c r="D51" s="1" t="s">
        <v>95</v>
      </c>
      <c r="E51" s="1" t="s">
        <v>743</v>
      </c>
      <c r="F51" s="1" t="s">
        <v>97</v>
      </c>
      <c r="G51" s="134">
        <v>45829</v>
      </c>
      <c r="H51" s="134">
        <v>45835</v>
      </c>
      <c r="I51" s="134">
        <v>46022</v>
      </c>
      <c r="J51" s="1" t="s">
        <v>572</v>
      </c>
      <c r="K51" s="1" t="s">
        <v>685</v>
      </c>
      <c r="L51" s="1"/>
      <c r="M51" s="1"/>
    </row>
    <row r="52" spans="1:13" hidden="1" x14ac:dyDescent="0.25">
      <c r="A52" s="1" t="s">
        <v>375</v>
      </c>
      <c r="B52" s="1" t="s">
        <v>381</v>
      </c>
      <c r="C52" s="1" t="s">
        <v>744</v>
      </c>
      <c r="D52" s="1" t="s">
        <v>95</v>
      </c>
      <c r="E52" s="1" t="s">
        <v>745</v>
      </c>
      <c r="F52" s="1" t="s">
        <v>97</v>
      </c>
      <c r="G52" s="134">
        <v>45829</v>
      </c>
      <c r="H52" s="134">
        <v>45835</v>
      </c>
      <c r="I52" s="134">
        <v>46022</v>
      </c>
      <c r="J52" s="1" t="s">
        <v>572</v>
      </c>
      <c r="K52" s="1" t="s">
        <v>685</v>
      </c>
      <c r="L52" s="1"/>
      <c r="M52" s="1"/>
    </row>
    <row r="53" spans="1:13" hidden="1" x14ac:dyDescent="0.25">
      <c r="A53" s="1" t="s">
        <v>375</v>
      </c>
      <c r="B53" s="1" t="s">
        <v>381</v>
      </c>
      <c r="C53" s="1" t="s">
        <v>746</v>
      </c>
      <c r="D53" s="1" t="s">
        <v>95</v>
      </c>
      <c r="E53" s="1" t="s">
        <v>747</v>
      </c>
      <c r="F53" s="1" t="s">
        <v>97</v>
      </c>
      <c r="G53" s="134">
        <v>45830</v>
      </c>
      <c r="H53" s="134">
        <v>45835</v>
      </c>
      <c r="I53" s="134">
        <v>46022</v>
      </c>
      <c r="J53" s="1" t="s">
        <v>540</v>
      </c>
      <c r="K53" s="1" t="s">
        <v>682</v>
      </c>
      <c r="L53" s="1"/>
      <c r="M53" s="1"/>
    </row>
    <row r="54" spans="1:13" hidden="1" x14ac:dyDescent="0.25">
      <c r="A54" s="1" t="s">
        <v>375</v>
      </c>
      <c r="B54" s="1" t="s">
        <v>381</v>
      </c>
      <c r="C54" s="1" t="s">
        <v>748</v>
      </c>
      <c r="D54" s="1" t="s">
        <v>95</v>
      </c>
      <c r="E54" s="1" t="s">
        <v>749</v>
      </c>
      <c r="F54" s="1" t="s">
        <v>97</v>
      </c>
      <c r="G54" s="134">
        <v>45830</v>
      </c>
      <c r="H54" s="134">
        <v>45835</v>
      </c>
      <c r="I54" s="134">
        <v>46022</v>
      </c>
      <c r="J54" s="1" t="s">
        <v>540</v>
      </c>
      <c r="K54" s="1" t="s">
        <v>682</v>
      </c>
      <c r="L54" s="1"/>
      <c r="M54" s="1"/>
    </row>
    <row r="55" spans="1:13" hidden="1" x14ac:dyDescent="0.25">
      <c r="A55" s="1" t="s">
        <v>375</v>
      </c>
      <c r="B55" s="1" t="s">
        <v>381</v>
      </c>
      <c r="C55" s="1" t="s">
        <v>750</v>
      </c>
      <c r="D55" s="1" t="s">
        <v>95</v>
      </c>
      <c r="E55" s="1" t="s">
        <v>751</v>
      </c>
      <c r="F55" s="1" t="s">
        <v>97</v>
      </c>
      <c r="G55" s="134">
        <v>45830</v>
      </c>
      <c r="H55" s="134">
        <v>45835</v>
      </c>
      <c r="I55" s="134">
        <v>46022</v>
      </c>
      <c r="J55" s="1" t="s">
        <v>540</v>
      </c>
      <c r="K55" s="1" t="s">
        <v>682</v>
      </c>
      <c r="L55" s="1"/>
      <c r="M55" s="1"/>
    </row>
    <row r="56" spans="1:13" hidden="1" x14ac:dyDescent="0.25">
      <c r="A56" s="1" t="s">
        <v>375</v>
      </c>
      <c r="B56" s="1" t="s">
        <v>381</v>
      </c>
      <c r="C56" s="1" t="s">
        <v>752</v>
      </c>
      <c r="D56" s="1" t="s">
        <v>95</v>
      </c>
      <c r="E56" s="1" t="s">
        <v>753</v>
      </c>
      <c r="F56" s="1" t="s">
        <v>97</v>
      </c>
      <c r="G56" s="134">
        <v>45830</v>
      </c>
      <c r="H56" s="134">
        <v>45835</v>
      </c>
      <c r="I56" s="134">
        <v>46022</v>
      </c>
      <c r="J56" s="1" t="s">
        <v>540</v>
      </c>
      <c r="K56" s="1" t="s">
        <v>682</v>
      </c>
      <c r="L56" s="1"/>
      <c r="M56" s="1"/>
    </row>
    <row r="57" spans="1:13" hidden="1" x14ac:dyDescent="0.25">
      <c r="A57" s="1" t="s">
        <v>375</v>
      </c>
      <c r="B57" s="1" t="s">
        <v>381</v>
      </c>
      <c r="C57" s="1" t="s">
        <v>754</v>
      </c>
      <c r="D57" s="1" t="s">
        <v>95</v>
      </c>
      <c r="E57" s="1" t="s">
        <v>755</v>
      </c>
      <c r="F57" s="1" t="s">
        <v>97</v>
      </c>
      <c r="G57" s="134">
        <v>45830</v>
      </c>
      <c r="H57" s="134">
        <v>45835</v>
      </c>
      <c r="I57" s="134">
        <v>46022</v>
      </c>
      <c r="J57" s="1" t="s">
        <v>540</v>
      </c>
      <c r="K57" s="1" t="s">
        <v>682</v>
      </c>
      <c r="L57" s="1"/>
      <c r="M57" s="1"/>
    </row>
    <row r="58" spans="1:13" hidden="1" x14ac:dyDescent="0.25">
      <c r="A58" s="1" t="s">
        <v>375</v>
      </c>
      <c r="B58" s="1" t="s">
        <v>381</v>
      </c>
      <c r="C58" s="1" t="s">
        <v>756</v>
      </c>
      <c r="D58" s="1" t="s">
        <v>95</v>
      </c>
      <c r="E58" s="1" t="s">
        <v>757</v>
      </c>
      <c r="F58" s="1" t="s">
        <v>97</v>
      </c>
      <c r="G58" s="134">
        <v>45830</v>
      </c>
      <c r="H58" s="134">
        <v>45835</v>
      </c>
      <c r="I58" s="134">
        <v>46022</v>
      </c>
      <c r="J58" s="1" t="s">
        <v>540</v>
      </c>
      <c r="K58" s="1" t="s">
        <v>682</v>
      </c>
      <c r="L58" s="1"/>
      <c r="M58" s="1"/>
    </row>
    <row r="59" spans="1:13" hidden="1" x14ac:dyDescent="0.25">
      <c r="A59" s="1" t="s">
        <v>375</v>
      </c>
      <c r="B59" s="1" t="s">
        <v>381</v>
      </c>
      <c r="C59" s="1" t="s">
        <v>758</v>
      </c>
      <c r="D59" s="1" t="s">
        <v>95</v>
      </c>
      <c r="E59" s="1" t="s">
        <v>759</v>
      </c>
      <c r="F59" s="1" t="s">
        <v>97</v>
      </c>
      <c r="G59" s="134">
        <v>45830</v>
      </c>
      <c r="H59" s="134">
        <v>45835</v>
      </c>
      <c r="I59" s="134">
        <v>46022</v>
      </c>
      <c r="J59" s="1" t="s">
        <v>540</v>
      </c>
      <c r="K59" s="1" t="s">
        <v>682</v>
      </c>
      <c r="L59" s="1"/>
      <c r="M59" s="1"/>
    </row>
    <row r="60" spans="1:13" hidden="1" x14ac:dyDescent="0.25">
      <c r="A60" s="1" t="s">
        <v>375</v>
      </c>
      <c r="B60" s="1" t="s">
        <v>381</v>
      </c>
      <c r="C60" s="1" t="s">
        <v>760</v>
      </c>
      <c r="D60" s="1" t="s">
        <v>95</v>
      </c>
      <c r="E60" s="1" t="s">
        <v>761</v>
      </c>
      <c r="F60" s="1" t="s">
        <v>97</v>
      </c>
      <c r="G60" s="134">
        <v>45830</v>
      </c>
      <c r="H60" s="134">
        <v>45835</v>
      </c>
      <c r="I60" s="134">
        <v>46022</v>
      </c>
      <c r="J60" s="1" t="s">
        <v>540</v>
      </c>
      <c r="K60" s="1" t="s">
        <v>682</v>
      </c>
      <c r="L60" s="1"/>
      <c r="M60" s="1"/>
    </row>
    <row r="61" spans="1:13" hidden="1" x14ac:dyDescent="0.25">
      <c r="A61" s="1" t="s">
        <v>375</v>
      </c>
      <c r="B61" s="1" t="s">
        <v>381</v>
      </c>
      <c r="C61" s="1" t="s">
        <v>388</v>
      </c>
      <c r="D61" s="1" t="s">
        <v>95</v>
      </c>
      <c r="E61" s="1" t="s">
        <v>389</v>
      </c>
      <c r="F61" s="1" t="s">
        <v>97</v>
      </c>
      <c r="G61" s="134">
        <v>45832</v>
      </c>
      <c r="H61" s="134">
        <v>45842</v>
      </c>
      <c r="I61" s="134">
        <v>46022</v>
      </c>
      <c r="J61" s="1" t="s">
        <v>390</v>
      </c>
      <c r="K61" s="1" t="s">
        <v>391</v>
      </c>
      <c r="L61" s="1"/>
      <c r="M61" s="1"/>
    </row>
    <row r="62" spans="1:13" hidden="1" x14ac:dyDescent="0.25">
      <c r="A62" s="1" t="s">
        <v>375</v>
      </c>
      <c r="B62" s="1" t="s">
        <v>381</v>
      </c>
      <c r="C62" s="1" t="s">
        <v>392</v>
      </c>
      <c r="D62" s="1" t="s">
        <v>95</v>
      </c>
      <c r="E62" s="1" t="s">
        <v>393</v>
      </c>
      <c r="F62" s="1" t="s">
        <v>97</v>
      </c>
      <c r="G62" s="134">
        <v>45832</v>
      </c>
      <c r="H62" s="134">
        <v>45842</v>
      </c>
      <c r="I62" s="134">
        <v>46022</v>
      </c>
      <c r="J62" s="1" t="s">
        <v>390</v>
      </c>
      <c r="K62" s="1" t="s">
        <v>391</v>
      </c>
      <c r="L62" s="1"/>
      <c r="M62" s="1"/>
    </row>
    <row r="63" spans="1:13" hidden="1" x14ac:dyDescent="0.25">
      <c r="A63" s="1" t="s">
        <v>375</v>
      </c>
      <c r="B63" s="1" t="s">
        <v>381</v>
      </c>
      <c r="C63" s="1" t="s">
        <v>394</v>
      </c>
      <c r="D63" s="1" t="s">
        <v>95</v>
      </c>
      <c r="E63" s="1" t="s">
        <v>395</v>
      </c>
      <c r="F63" s="1" t="s">
        <v>97</v>
      </c>
      <c r="G63" s="134">
        <v>45833</v>
      </c>
      <c r="H63" s="134">
        <v>45887</v>
      </c>
      <c r="I63" s="134">
        <v>46022</v>
      </c>
      <c r="J63" s="1" t="s">
        <v>390</v>
      </c>
      <c r="K63" s="1" t="s">
        <v>391</v>
      </c>
      <c r="L63" s="1"/>
      <c r="M63" s="1"/>
    </row>
    <row r="64" spans="1:13" hidden="1" x14ac:dyDescent="0.25">
      <c r="A64" s="1" t="s">
        <v>375</v>
      </c>
      <c r="B64" s="1" t="s">
        <v>381</v>
      </c>
      <c r="C64" s="1" t="s">
        <v>396</v>
      </c>
      <c r="D64" s="1" t="s">
        <v>95</v>
      </c>
      <c r="E64" s="1" t="s">
        <v>397</v>
      </c>
      <c r="F64" s="1" t="s">
        <v>97</v>
      </c>
      <c r="G64" s="134">
        <v>45833</v>
      </c>
      <c r="H64" s="134">
        <v>45842</v>
      </c>
      <c r="I64" s="134">
        <v>46022</v>
      </c>
      <c r="J64" s="1" t="s">
        <v>390</v>
      </c>
      <c r="K64" s="1" t="s">
        <v>391</v>
      </c>
      <c r="L64" s="1"/>
      <c r="M64" s="1"/>
    </row>
    <row r="65" spans="1:13" hidden="1" x14ac:dyDescent="0.25">
      <c r="A65" s="1" t="s">
        <v>375</v>
      </c>
      <c r="B65" s="1" t="s">
        <v>381</v>
      </c>
      <c r="C65" s="1" t="s">
        <v>398</v>
      </c>
      <c r="D65" s="1" t="s">
        <v>95</v>
      </c>
      <c r="E65" s="1" t="s">
        <v>399</v>
      </c>
      <c r="F65" s="1" t="s">
        <v>97</v>
      </c>
      <c r="G65" s="134">
        <v>45833</v>
      </c>
      <c r="H65" s="134">
        <v>45887</v>
      </c>
      <c r="I65" s="134">
        <v>46022</v>
      </c>
      <c r="J65" s="1" t="s">
        <v>390</v>
      </c>
      <c r="K65" s="1" t="s">
        <v>391</v>
      </c>
      <c r="L65" s="1"/>
      <c r="M65" s="1"/>
    </row>
    <row r="66" spans="1:13" hidden="1" x14ac:dyDescent="0.25">
      <c r="A66" s="1" t="s">
        <v>375</v>
      </c>
      <c r="B66" s="1" t="s">
        <v>381</v>
      </c>
      <c r="C66" s="1" t="s">
        <v>400</v>
      </c>
      <c r="D66" s="1" t="s">
        <v>95</v>
      </c>
      <c r="E66" s="1" t="s">
        <v>401</v>
      </c>
      <c r="F66" s="1" t="s">
        <v>97</v>
      </c>
      <c r="G66" s="134">
        <v>45833</v>
      </c>
      <c r="H66" s="134">
        <v>45842</v>
      </c>
      <c r="I66" s="134">
        <v>46022</v>
      </c>
      <c r="J66" s="1" t="s">
        <v>390</v>
      </c>
      <c r="K66" s="1" t="s">
        <v>391</v>
      </c>
      <c r="L66" s="1"/>
      <c r="M66" s="1"/>
    </row>
    <row r="67" spans="1:13" hidden="1" x14ac:dyDescent="0.25">
      <c r="A67" s="1" t="s">
        <v>375</v>
      </c>
      <c r="B67" s="1" t="s">
        <v>381</v>
      </c>
      <c r="C67" s="1" t="s">
        <v>402</v>
      </c>
      <c r="D67" s="1" t="s">
        <v>95</v>
      </c>
      <c r="E67" s="1" t="s">
        <v>403</v>
      </c>
      <c r="F67" s="1" t="s">
        <v>97</v>
      </c>
      <c r="G67" s="134">
        <v>45833</v>
      </c>
      <c r="H67" s="134">
        <v>45842</v>
      </c>
      <c r="I67" s="134">
        <v>46022</v>
      </c>
      <c r="J67" s="1" t="s">
        <v>390</v>
      </c>
      <c r="K67" s="1" t="s">
        <v>391</v>
      </c>
      <c r="L67" s="1"/>
      <c r="M67" s="1"/>
    </row>
    <row r="68" spans="1:13" hidden="1" x14ac:dyDescent="0.25">
      <c r="A68" s="1" t="s">
        <v>375</v>
      </c>
      <c r="B68" s="1" t="s">
        <v>381</v>
      </c>
      <c r="C68" s="1" t="s">
        <v>404</v>
      </c>
      <c r="D68" s="1" t="s">
        <v>95</v>
      </c>
      <c r="E68" s="1" t="s">
        <v>405</v>
      </c>
      <c r="F68" s="1" t="s">
        <v>97</v>
      </c>
      <c r="G68" s="134">
        <v>45833</v>
      </c>
      <c r="H68" s="134">
        <v>45842</v>
      </c>
      <c r="I68" s="134">
        <v>46022</v>
      </c>
      <c r="J68" s="1" t="s">
        <v>390</v>
      </c>
      <c r="K68" s="1" t="s">
        <v>391</v>
      </c>
      <c r="L68" s="1"/>
      <c r="M68" s="1"/>
    </row>
    <row r="69" spans="1:13" hidden="1" x14ac:dyDescent="0.25">
      <c r="A69" s="1" t="s">
        <v>375</v>
      </c>
      <c r="B69" s="1" t="s">
        <v>381</v>
      </c>
      <c r="C69" s="1" t="s">
        <v>406</v>
      </c>
      <c r="D69" s="1" t="s">
        <v>95</v>
      </c>
      <c r="E69" s="1" t="s">
        <v>407</v>
      </c>
      <c r="F69" s="1" t="s">
        <v>97</v>
      </c>
      <c r="G69" s="134">
        <v>45833</v>
      </c>
      <c r="H69" s="134">
        <v>45842</v>
      </c>
      <c r="I69" s="134">
        <v>46022</v>
      </c>
      <c r="J69" s="1" t="s">
        <v>390</v>
      </c>
      <c r="K69" s="1" t="s">
        <v>391</v>
      </c>
      <c r="L69" s="1"/>
      <c r="M69" s="1"/>
    </row>
    <row r="70" spans="1:13" hidden="1" x14ac:dyDescent="0.25">
      <c r="A70" s="1" t="s">
        <v>375</v>
      </c>
      <c r="B70" s="1" t="s">
        <v>381</v>
      </c>
      <c r="C70" s="1" t="s">
        <v>408</v>
      </c>
      <c r="D70" s="1" t="s">
        <v>95</v>
      </c>
      <c r="E70" s="1" t="s">
        <v>409</v>
      </c>
      <c r="F70" s="1" t="s">
        <v>97</v>
      </c>
      <c r="G70" s="134">
        <v>45833</v>
      </c>
      <c r="H70" s="134">
        <v>45842</v>
      </c>
      <c r="I70" s="134">
        <v>46022</v>
      </c>
      <c r="J70" s="1" t="s">
        <v>390</v>
      </c>
      <c r="K70" s="1" t="s">
        <v>391</v>
      </c>
      <c r="L70" s="1"/>
      <c r="M70" s="1"/>
    </row>
    <row r="71" spans="1:13" hidden="1" x14ac:dyDescent="0.25">
      <c r="A71" s="1" t="s">
        <v>375</v>
      </c>
      <c r="B71" s="1" t="s">
        <v>381</v>
      </c>
      <c r="C71" s="1" t="s">
        <v>410</v>
      </c>
      <c r="D71" s="1" t="s">
        <v>95</v>
      </c>
      <c r="E71" s="1" t="s">
        <v>411</v>
      </c>
      <c r="F71" s="1" t="s">
        <v>97</v>
      </c>
      <c r="G71" s="134">
        <v>45833</v>
      </c>
      <c r="H71" s="134">
        <v>45842</v>
      </c>
      <c r="I71" s="134">
        <v>46022</v>
      </c>
      <c r="J71" s="1" t="s">
        <v>390</v>
      </c>
      <c r="K71" s="1" t="s">
        <v>391</v>
      </c>
      <c r="L71" s="1"/>
      <c r="M71" s="1"/>
    </row>
    <row r="72" spans="1:13" hidden="1" x14ac:dyDescent="0.25">
      <c r="A72" s="1" t="s">
        <v>375</v>
      </c>
      <c r="B72" s="1" t="s">
        <v>381</v>
      </c>
      <c r="C72" s="1" t="s">
        <v>412</v>
      </c>
      <c r="D72" s="1" t="s">
        <v>95</v>
      </c>
      <c r="E72" s="1" t="s">
        <v>413</v>
      </c>
      <c r="F72" s="1" t="s">
        <v>97</v>
      </c>
      <c r="G72" s="134">
        <v>45833</v>
      </c>
      <c r="H72" s="134">
        <v>45842</v>
      </c>
      <c r="I72" s="134">
        <v>46022</v>
      </c>
      <c r="J72" s="1" t="s">
        <v>390</v>
      </c>
      <c r="K72" s="1" t="s">
        <v>391</v>
      </c>
      <c r="L72" s="1"/>
      <c r="M72" s="1"/>
    </row>
    <row r="73" spans="1:13" hidden="1" x14ac:dyDescent="0.25">
      <c r="A73" s="1" t="s">
        <v>375</v>
      </c>
      <c r="B73" s="1" t="s">
        <v>381</v>
      </c>
      <c r="C73" s="1" t="s">
        <v>414</v>
      </c>
      <c r="D73" s="1" t="s">
        <v>95</v>
      </c>
      <c r="E73" s="1" t="s">
        <v>415</v>
      </c>
      <c r="F73" s="1" t="s">
        <v>97</v>
      </c>
      <c r="G73" s="134">
        <v>45833</v>
      </c>
      <c r="H73" s="134">
        <v>45842</v>
      </c>
      <c r="I73" s="134">
        <v>46022</v>
      </c>
      <c r="J73" s="1" t="s">
        <v>390</v>
      </c>
      <c r="K73" s="1" t="s">
        <v>391</v>
      </c>
      <c r="L73" s="1"/>
      <c r="M73" s="1"/>
    </row>
    <row r="74" spans="1:13" hidden="1" x14ac:dyDescent="0.25">
      <c r="A74" s="1" t="s">
        <v>375</v>
      </c>
      <c r="B74" s="1" t="s">
        <v>381</v>
      </c>
      <c r="C74" s="1" t="s">
        <v>416</v>
      </c>
      <c r="D74" s="1" t="s">
        <v>95</v>
      </c>
      <c r="E74" s="1" t="s">
        <v>417</v>
      </c>
      <c r="F74" s="1" t="s">
        <v>97</v>
      </c>
      <c r="G74" s="134">
        <v>45834</v>
      </c>
      <c r="H74" s="134">
        <v>45842</v>
      </c>
      <c r="I74" s="134">
        <v>46022</v>
      </c>
      <c r="J74" s="1" t="s">
        <v>390</v>
      </c>
      <c r="K74" s="1" t="s">
        <v>391</v>
      </c>
      <c r="L74" s="1"/>
      <c r="M74" s="1"/>
    </row>
    <row r="75" spans="1:13" hidden="1" x14ac:dyDescent="0.25">
      <c r="A75" s="1" t="s">
        <v>375</v>
      </c>
      <c r="B75" s="1" t="s">
        <v>381</v>
      </c>
      <c r="C75" s="1" t="s">
        <v>762</v>
      </c>
      <c r="D75" s="1" t="s">
        <v>95</v>
      </c>
      <c r="E75" s="1" t="s">
        <v>763</v>
      </c>
      <c r="F75" s="1" t="s">
        <v>97</v>
      </c>
      <c r="G75" s="134">
        <v>45835</v>
      </c>
      <c r="H75" s="134">
        <v>45835</v>
      </c>
      <c r="I75" s="134">
        <v>46022</v>
      </c>
      <c r="J75" s="1" t="s">
        <v>540</v>
      </c>
      <c r="K75" s="1" t="s">
        <v>682</v>
      </c>
      <c r="L75" s="1"/>
      <c r="M75" s="1"/>
    </row>
    <row r="76" spans="1:13" hidden="1" x14ac:dyDescent="0.25">
      <c r="A76" s="1" t="s">
        <v>375</v>
      </c>
      <c r="B76" s="1" t="s">
        <v>381</v>
      </c>
      <c r="C76" s="1" t="s">
        <v>764</v>
      </c>
      <c r="D76" s="1" t="s">
        <v>95</v>
      </c>
      <c r="E76" s="1" t="s">
        <v>765</v>
      </c>
      <c r="F76" s="1" t="s">
        <v>97</v>
      </c>
      <c r="G76" s="134">
        <v>45835</v>
      </c>
      <c r="H76" s="134">
        <v>45835</v>
      </c>
      <c r="I76" s="134">
        <v>46022</v>
      </c>
      <c r="J76" s="1" t="s">
        <v>540</v>
      </c>
      <c r="K76" s="1" t="s">
        <v>682</v>
      </c>
      <c r="L76" s="1"/>
      <c r="M76" s="1"/>
    </row>
    <row r="77" spans="1:13" hidden="1" x14ac:dyDescent="0.25">
      <c r="A77" s="1" t="s">
        <v>375</v>
      </c>
      <c r="B77" s="1" t="s">
        <v>381</v>
      </c>
      <c r="C77" s="1" t="s">
        <v>766</v>
      </c>
      <c r="D77" s="1" t="s">
        <v>95</v>
      </c>
      <c r="E77" s="1" t="s">
        <v>767</v>
      </c>
      <c r="F77" s="1" t="s">
        <v>97</v>
      </c>
      <c r="G77" s="134">
        <v>45835</v>
      </c>
      <c r="H77" s="134">
        <v>45835</v>
      </c>
      <c r="I77" s="134">
        <v>46022</v>
      </c>
      <c r="J77" s="1" t="s">
        <v>540</v>
      </c>
      <c r="K77" s="1" t="s">
        <v>682</v>
      </c>
      <c r="L77" s="1"/>
      <c r="M77" s="1"/>
    </row>
    <row r="78" spans="1:13" hidden="1" x14ac:dyDescent="0.25">
      <c r="A78" s="1" t="s">
        <v>375</v>
      </c>
      <c r="B78" s="1" t="s">
        <v>381</v>
      </c>
      <c r="C78" s="1" t="s">
        <v>768</v>
      </c>
      <c r="D78" s="1" t="s">
        <v>95</v>
      </c>
      <c r="E78" s="1" t="s">
        <v>769</v>
      </c>
      <c r="F78" s="1" t="s">
        <v>97</v>
      </c>
      <c r="G78" s="134">
        <v>45835</v>
      </c>
      <c r="H78" s="134">
        <v>45835</v>
      </c>
      <c r="I78" s="134">
        <v>46022</v>
      </c>
      <c r="J78" s="1" t="s">
        <v>540</v>
      </c>
      <c r="K78" s="1" t="s">
        <v>682</v>
      </c>
      <c r="L78" s="1"/>
      <c r="M78" s="1"/>
    </row>
    <row r="79" spans="1:13" hidden="1" x14ac:dyDescent="0.25">
      <c r="A79" s="1" t="s">
        <v>375</v>
      </c>
      <c r="B79" s="1" t="s">
        <v>381</v>
      </c>
      <c r="C79" s="1" t="s">
        <v>770</v>
      </c>
      <c r="D79" s="1" t="s">
        <v>95</v>
      </c>
      <c r="E79" s="1" t="s">
        <v>771</v>
      </c>
      <c r="F79" s="1" t="s">
        <v>97</v>
      </c>
      <c r="G79" s="134">
        <v>45835</v>
      </c>
      <c r="H79" s="134">
        <v>45835</v>
      </c>
      <c r="I79" s="134">
        <v>46022</v>
      </c>
      <c r="J79" s="1" t="s">
        <v>540</v>
      </c>
      <c r="K79" s="1" t="s">
        <v>682</v>
      </c>
      <c r="L79" s="1"/>
      <c r="M79" s="1"/>
    </row>
    <row r="80" spans="1:13" hidden="1" x14ac:dyDescent="0.25">
      <c r="A80" s="1" t="s">
        <v>375</v>
      </c>
      <c r="B80" s="1" t="s">
        <v>381</v>
      </c>
      <c r="C80" s="1" t="s">
        <v>772</v>
      </c>
      <c r="D80" s="1" t="s">
        <v>95</v>
      </c>
      <c r="E80" s="1" t="s">
        <v>773</v>
      </c>
      <c r="F80" s="1" t="s">
        <v>97</v>
      </c>
      <c r="G80" s="134">
        <v>45835</v>
      </c>
      <c r="H80" s="134">
        <v>45835</v>
      </c>
      <c r="I80" s="134">
        <v>46022</v>
      </c>
      <c r="J80" s="1" t="s">
        <v>540</v>
      </c>
      <c r="K80" s="1" t="s">
        <v>682</v>
      </c>
      <c r="L80" s="1"/>
      <c r="M80" s="1"/>
    </row>
    <row r="81" spans="1:13" hidden="1" x14ac:dyDescent="0.25">
      <c r="A81" s="1" t="s">
        <v>375</v>
      </c>
      <c r="B81" s="1" t="s">
        <v>381</v>
      </c>
      <c r="C81" s="1" t="s">
        <v>774</v>
      </c>
      <c r="D81" s="1" t="s">
        <v>95</v>
      </c>
      <c r="E81" s="1" t="s">
        <v>775</v>
      </c>
      <c r="F81" s="1" t="s">
        <v>97</v>
      </c>
      <c r="G81" s="134">
        <v>45835</v>
      </c>
      <c r="H81" s="134">
        <v>45835</v>
      </c>
      <c r="I81" s="134">
        <v>46022</v>
      </c>
      <c r="J81" s="1" t="s">
        <v>540</v>
      </c>
      <c r="K81" s="1" t="s">
        <v>682</v>
      </c>
      <c r="L81" s="1"/>
      <c r="M81" s="1"/>
    </row>
    <row r="82" spans="1:13" hidden="1" x14ac:dyDescent="0.25">
      <c r="A82" s="1" t="s">
        <v>375</v>
      </c>
      <c r="B82" s="1" t="s">
        <v>381</v>
      </c>
      <c r="C82" s="1" t="s">
        <v>776</v>
      </c>
      <c r="D82" s="1" t="s">
        <v>95</v>
      </c>
      <c r="E82" s="1" t="s">
        <v>777</v>
      </c>
      <c r="F82" s="1" t="s">
        <v>97</v>
      </c>
      <c r="G82" s="134">
        <v>45835</v>
      </c>
      <c r="H82" s="134">
        <v>45835</v>
      </c>
      <c r="I82" s="134">
        <v>46022</v>
      </c>
      <c r="J82" s="1" t="s">
        <v>540</v>
      </c>
      <c r="K82" s="1" t="s">
        <v>682</v>
      </c>
      <c r="L82" s="1"/>
      <c r="M82" s="1"/>
    </row>
    <row r="83" spans="1:13" hidden="1" x14ac:dyDescent="0.25">
      <c r="A83" s="1" t="s">
        <v>375</v>
      </c>
      <c r="B83" s="1" t="s">
        <v>381</v>
      </c>
      <c r="C83" s="1" t="s">
        <v>778</v>
      </c>
      <c r="D83" s="1" t="s">
        <v>95</v>
      </c>
      <c r="E83" s="1" t="s">
        <v>779</v>
      </c>
      <c r="F83" s="1" t="s">
        <v>97</v>
      </c>
      <c r="G83" s="134">
        <v>45835</v>
      </c>
      <c r="H83" s="134">
        <v>45835</v>
      </c>
      <c r="I83" s="134">
        <v>46022</v>
      </c>
      <c r="J83" s="1" t="s">
        <v>540</v>
      </c>
      <c r="K83" s="1" t="s">
        <v>682</v>
      </c>
      <c r="L83" s="1"/>
      <c r="M83" s="1"/>
    </row>
    <row r="84" spans="1:13" hidden="1" x14ac:dyDescent="0.25">
      <c r="A84" s="1" t="s">
        <v>375</v>
      </c>
      <c r="B84" s="1" t="s">
        <v>381</v>
      </c>
      <c r="C84" s="1" t="s">
        <v>780</v>
      </c>
      <c r="D84" s="1" t="s">
        <v>95</v>
      </c>
      <c r="E84" s="1" t="s">
        <v>781</v>
      </c>
      <c r="F84" s="1" t="s">
        <v>97</v>
      </c>
      <c r="G84" s="134">
        <v>45835</v>
      </c>
      <c r="H84" s="134">
        <v>45835</v>
      </c>
      <c r="I84" s="134">
        <v>46022</v>
      </c>
      <c r="J84" s="1" t="s">
        <v>540</v>
      </c>
      <c r="K84" s="1" t="s">
        <v>682</v>
      </c>
      <c r="L84" s="1"/>
      <c r="M84" s="1"/>
    </row>
    <row r="85" spans="1:13" hidden="1" x14ac:dyDescent="0.25">
      <c r="A85" s="1" t="s">
        <v>375</v>
      </c>
      <c r="B85" s="1" t="s">
        <v>381</v>
      </c>
      <c r="C85" s="1" t="s">
        <v>782</v>
      </c>
      <c r="D85" s="1" t="s">
        <v>95</v>
      </c>
      <c r="E85" s="1" t="s">
        <v>783</v>
      </c>
      <c r="F85" s="1" t="s">
        <v>97</v>
      </c>
      <c r="G85" s="134">
        <v>45835</v>
      </c>
      <c r="H85" s="134">
        <v>45842</v>
      </c>
      <c r="I85" s="134">
        <v>46022</v>
      </c>
      <c r="J85" s="1" t="s">
        <v>445</v>
      </c>
      <c r="K85" s="1" t="s">
        <v>613</v>
      </c>
      <c r="L85" s="1"/>
      <c r="M85" s="1"/>
    </row>
    <row r="86" spans="1:13" hidden="1" x14ac:dyDescent="0.25">
      <c r="A86" s="1" t="s">
        <v>375</v>
      </c>
      <c r="B86" s="1" t="s">
        <v>381</v>
      </c>
      <c r="C86" s="1" t="s">
        <v>784</v>
      </c>
      <c r="D86" s="1" t="s">
        <v>95</v>
      </c>
      <c r="E86" s="1" t="s">
        <v>785</v>
      </c>
      <c r="F86" s="1" t="s">
        <v>97</v>
      </c>
      <c r="G86" s="134">
        <v>45835</v>
      </c>
      <c r="H86" s="134">
        <v>45835</v>
      </c>
      <c r="I86" s="134">
        <v>46022</v>
      </c>
      <c r="J86" s="1" t="s">
        <v>540</v>
      </c>
      <c r="K86" s="1" t="s">
        <v>682</v>
      </c>
      <c r="L86" s="1"/>
      <c r="M86" s="1"/>
    </row>
    <row r="87" spans="1:13" hidden="1" x14ac:dyDescent="0.25">
      <c r="A87" s="1" t="s">
        <v>375</v>
      </c>
      <c r="B87" s="1" t="s">
        <v>381</v>
      </c>
      <c r="C87" s="1" t="s">
        <v>786</v>
      </c>
      <c r="D87" s="1" t="s">
        <v>95</v>
      </c>
      <c r="E87" s="1" t="s">
        <v>787</v>
      </c>
      <c r="F87" s="1" t="s">
        <v>97</v>
      </c>
      <c r="G87" s="134">
        <v>45835</v>
      </c>
      <c r="H87" s="134">
        <v>45835</v>
      </c>
      <c r="I87" s="134">
        <v>46022</v>
      </c>
      <c r="J87" s="1" t="s">
        <v>540</v>
      </c>
      <c r="K87" s="1" t="s">
        <v>682</v>
      </c>
      <c r="L87" s="1"/>
      <c r="M87" s="1"/>
    </row>
    <row r="88" spans="1:13" hidden="1" x14ac:dyDescent="0.25">
      <c r="A88" s="1" t="s">
        <v>375</v>
      </c>
      <c r="B88" s="1" t="s">
        <v>381</v>
      </c>
      <c r="C88" s="1" t="s">
        <v>788</v>
      </c>
      <c r="D88" s="1" t="s">
        <v>95</v>
      </c>
      <c r="E88" s="1" t="s">
        <v>789</v>
      </c>
      <c r="F88" s="1" t="s">
        <v>97</v>
      </c>
      <c r="G88" s="134">
        <v>45835</v>
      </c>
      <c r="H88" s="134">
        <v>45842</v>
      </c>
      <c r="I88" s="134">
        <v>46022</v>
      </c>
      <c r="J88" s="1" t="s">
        <v>445</v>
      </c>
      <c r="K88" s="1" t="s">
        <v>613</v>
      </c>
      <c r="L88" s="1"/>
      <c r="M88" s="1"/>
    </row>
    <row r="89" spans="1:13" hidden="1" x14ac:dyDescent="0.25">
      <c r="A89" s="1" t="s">
        <v>375</v>
      </c>
      <c r="B89" s="1" t="s">
        <v>381</v>
      </c>
      <c r="C89" s="1" t="s">
        <v>790</v>
      </c>
      <c r="D89" s="1" t="s">
        <v>95</v>
      </c>
      <c r="E89" s="1" t="s">
        <v>791</v>
      </c>
      <c r="F89" s="1" t="s">
        <v>97</v>
      </c>
      <c r="G89" s="134">
        <v>45835</v>
      </c>
      <c r="H89" s="134">
        <v>45835</v>
      </c>
      <c r="I89" s="134">
        <v>46022</v>
      </c>
      <c r="J89" s="1" t="s">
        <v>540</v>
      </c>
      <c r="K89" s="1" t="s">
        <v>682</v>
      </c>
      <c r="L89" s="1"/>
      <c r="M89" s="1"/>
    </row>
    <row r="90" spans="1:13" hidden="1" x14ac:dyDescent="0.25">
      <c r="A90" s="1" t="s">
        <v>375</v>
      </c>
      <c r="B90" s="1" t="s">
        <v>381</v>
      </c>
      <c r="C90" s="1" t="s">
        <v>792</v>
      </c>
      <c r="D90" s="1" t="s">
        <v>95</v>
      </c>
      <c r="E90" s="1" t="s">
        <v>793</v>
      </c>
      <c r="F90" s="1" t="s">
        <v>97</v>
      </c>
      <c r="G90" s="134">
        <v>45835</v>
      </c>
      <c r="H90" s="134">
        <v>45842</v>
      </c>
      <c r="I90" s="134">
        <v>46018</v>
      </c>
      <c r="J90" s="1" t="s">
        <v>445</v>
      </c>
      <c r="K90" s="1" t="s">
        <v>613</v>
      </c>
      <c r="L90" s="1"/>
      <c r="M90" s="1"/>
    </row>
    <row r="91" spans="1:13" hidden="1" x14ac:dyDescent="0.25">
      <c r="A91" s="1" t="s">
        <v>375</v>
      </c>
      <c r="B91" s="1" t="s">
        <v>381</v>
      </c>
      <c r="C91" s="1" t="s">
        <v>794</v>
      </c>
      <c r="D91" s="1" t="s">
        <v>95</v>
      </c>
      <c r="E91" s="1" t="s">
        <v>795</v>
      </c>
      <c r="F91" s="1" t="s">
        <v>97</v>
      </c>
      <c r="G91" s="134">
        <v>45836</v>
      </c>
      <c r="H91" s="134">
        <v>45842</v>
      </c>
      <c r="I91" s="134">
        <v>46018</v>
      </c>
      <c r="J91" s="1" t="s">
        <v>445</v>
      </c>
      <c r="K91" s="1" t="s">
        <v>613</v>
      </c>
      <c r="L91" s="1"/>
      <c r="M91" s="1"/>
    </row>
    <row r="92" spans="1:13" hidden="1" x14ac:dyDescent="0.25">
      <c r="A92" s="1" t="s">
        <v>375</v>
      </c>
      <c r="B92" s="1" t="s">
        <v>381</v>
      </c>
      <c r="C92" s="1" t="s">
        <v>796</v>
      </c>
      <c r="D92" s="1" t="s">
        <v>95</v>
      </c>
      <c r="E92" s="1" t="s">
        <v>797</v>
      </c>
      <c r="F92" s="1" t="s">
        <v>97</v>
      </c>
      <c r="G92" s="134">
        <v>45837</v>
      </c>
      <c r="H92" s="134">
        <v>45845</v>
      </c>
      <c r="I92" s="134">
        <v>46022</v>
      </c>
      <c r="J92" s="1" t="s">
        <v>445</v>
      </c>
      <c r="K92" s="1" t="s">
        <v>613</v>
      </c>
      <c r="L92" s="1"/>
      <c r="M92" s="1"/>
    </row>
    <row r="93" spans="1:13" hidden="1" x14ac:dyDescent="0.25">
      <c r="A93" s="1" t="s">
        <v>375</v>
      </c>
      <c r="B93" s="1" t="s">
        <v>381</v>
      </c>
      <c r="C93" s="1" t="s">
        <v>798</v>
      </c>
      <c r="D93" s="1" t="s">
        <v>95</v>
      </c>
      <c r="E93" s="1" t="s">
        <v>799</v>
      </c>
      <c r="F93" s="1" t="s">
        <v>97</v>
      </c>
      <c r="G93" s="134">
        <v>45837</v>
      </c>
      <c r="H93" s="134">
        <v>45842</v>
      </c>
      <c r="I93" s="134">
        <v>46022</v>
      </c>
      <c r="J93" s="1" t="s">
        <v>445</v>
      </c>
      <c r="K93" s="1" t="s">
        <v>613</v>
      </c>
      <c r="L93" s="1"/>
      <c r="M93" s="1"/>
    </row>
    <row r="94" spans="1:13" hidden="1" x14ac:dyDescent="0.25">
      <c r="A94" s="1" t="s">
        <v>384</v>
      </c>
      <c r="B94" s="1"/>
      <c r="C94" s="1" t="s">
        <v>800</v>
      </c>
      <c r="D94" s="1" t="s">
        <v>658</v>
      </c>
      <c r="E94" s="1" t="s">
        <v>801</v>
      </c>
      <c r="F94" s="1" t="s">
        <v>96</v>
      </c>
      <c r="G94" s="134">
        <v>45838</v>
      </c>
      <c r="H94" s="134">
        <v>45863</v>
      </c>
      <c r="I94" s="134">
        <v>45905</v>
      </c>
      <c r="J94" s="1" t="s">
        <v>520</v>
      </c>
      <c r="K94" s="1" t="s">
        <v>597</v>
      </c>
      <c r="L94" s="1"/>
      <c r="M94" s="1"/>
    </row>
    <row r="95" spans="1:13" hidden="1" x14ac:dyDescent="0.25">
      <c r="A95" s="1" t="s">
        <v>384</v>
      </c>
      <c r="B95" s="1" t="s">
        <v>516</v>
      </c>
      <c r="C95" s="1" t="s">
        <v>802</v>
      </c>
      <c r="D95" s="1" t="s">
        <v>95</v>
      </c>
      <c r="E95" s="1" t="s">
        <v>803</v>
      </c>
      <c r="F95" s="1" t="s">
        <v>96</v>
      </c>
      <c r="G95" s="134">
        <v>45838</v>
      </c>
      <c r="H95" s="134">
        <v>45863</v>
      </c>
      <c r="I95" s="134">
        <v>45905</v>
      </c>
      <c r="J95" s="1" t="s">
        <v>520</v>
      </c>
      <c r="K95" s="1" t="s">
        <v>597</v>
      </c>
      <c r="L95" s="1"/>
      <c r="M95" s="1"/>
    </row>
    <row r="96" spans="1:13" hidden="1" x14ac:dyDescent="0.25">
      <c r="A96" s="1" t="s">
        <v>51</v>
      </c>
      <c r="B96" s="1" t="s">
        <v>82</v>
      </c>
      <c r="C96" s="1" t="s">
        <v>1287</v>
      </c>
      <c r="D96" s="1" t="s">
        <v>658</v>
      </c>
      <c r="E96" s="1" t="s">
        <v>1288</v>
      </c>
      <c r="F96" s="1" t="s">
        <v>99</v>
      </c>
      <c r="G96" s="134">
        <v>45839</v>
      </c>
      <c r="H96" s="134">
        <v>45968</v>
      </c>
      <c r="I96" s="134">
        <v>46003</v>
      </c>
      <c r="J96" s="1" t="s">
        <v>990</v>
      </c>
      <c r="K96" s="1" t="s">
        <v>371</v>
      </c>
      <c r="L96" s="1"/>
      <c r="M96" s="1"/>
    </row>
    <row r="97" spans="1:13" hidden="1" x14ac:dyDescent="0.25">
      <c r="A97" s="1" t="s">
        <v>51</v>
      </c>
      <c r="B97" s="1"/>
      <c r="C97" s="1" t="s">
        <v>2002</v>
      </c>
      <c r="D97" s="1" t="s">
        <v>658</v>
      </c>
      <c r="E97" s="1" t="s">
        <v>2003</v>
      </c>
      <c r="F97" s="1" t="s">
        <v>98</v>
      </c>
      <c r="G97" s="134">
        <v>45845</v>
      </c>
      <c r="H97" s="134">
        <v>45996</v>
      </c>
      <c r="I97" s="134">
        <v>46073</v>
      </c>
      <c r="J97" s="1" t="s">
        <v>990</v>
      </c>
      <c r="K97" s="1" t="s">
        <v>371</v>
      </c>
      <c r="L97" s="1"/>
      <c r="M97" s="1"/>
    </row>
    <row r="98" spans="1:13" hidden="1" x14ac:dyDescent="0.25">
      <c r="A98" s="1" t="s">
        <v>51</v>
      </c>
      <c r="B98" s="1" t="s">
        <v>82</v>
      </c>
      <c r="C98" s="1" t="s">
        <v>804</v>
      </c>
      <c r="D98" s="1" t="s">
        <v>658</v>
      </c>
      <c r="E98" s="1" t="s">
        <v>805</v>
      </c>
      <c r="F98" s="1" t="s">
        <v>96</v>
      </c>
      <c r="G98" s="134">
        <v>45849</v>
      </c>
      <c r="H98" s="134">
        <v>45249</v>
      </c>
      <c r="I98" s="1"/>
      <c r="J98" s="1" t="s">
        <v>457</v>
      </c>
      <c r="K98" s="1" t="s">
        <v>89</v>
      </c>
      <c r="L98" s="1"/>
      <c r="M98" s="1"/>
    </row>
    <row r="99" spans="1:13" ht="39.6" x14ac:dyDescent="0.25">
      <c r="A99" s="138" t="s">
        <v>382</v>
      </c>
      <c r="B99" s="138" t="s">
        <v>82</v>
      </c>
      <c r="C99" s="138" t="s">
        <v>806</v>
      </c>
      <c r="D99" s="138" t="s">
        <v>95</v>
      </c>
      <c r="E99" s="138" t="s">
        <v>807</v>
      </c>
      <c r="F99" s="138" t="s">
        <v>97</v>
      </c>
      <c r="G99" s="139">
        <v>45861</v>
      </c>
      <c r="H99" s="139">
        <v>45870</v>
      </c>
      <c r="I99" s="139">
        <v>45982</v>
      </c>
      <c r="J99" s="138" t="s">
        <v>480</v>
      </c>
      <c r="K99" s="138" t="s">
        <v>597</v>
      </c>
      <c r="L99" s="138"/>
      <c r="M99" s="140" t="s">
        <v>2156</v>
      </c>
    </row>
    <row r="100" spans="1:13" hidden="1" x14ac:dyDescent="0.25">
      <c r="A100" s="1" t="s">
        <v>382</v>
      </c>
      <c r="B100" s="1" t="s">
        <v>82</v>
      </c>
      <c r="C100" s="1" t="s">
        <v>808</v>
      </c>
      <c r="D100" s="1" t="s">
        <v>658</v>
      </c>
      <c r="E100" s="1" t="s">
        <v>809</v>
      </c>
      <c r="F100" s="1" t="s">
        <v>99</v>
      </c>
      <c r="G100" s="134">
        <v>45861</v>
      </c>
      <c r="H100" s="134">
        <v>45871</v>
      </c>
      <c r="I100" s="134">
        <v>45982</v>
      </c>
      <c r="J100" s="1" t="s">
        <v>480</v>
      </c>
      <c r="K100" s="1" t="s">
        <v>597</v>
      </c>
      <c r="L100" s="1"/>
      <c r="M100" s="1"/>
    </row>
    <row r="101" spans="1:13" ht="39.6" x14ac:dyDescent="0.25">
      <c r="A101" s="138" t="s">
        <v>382</v>
      </c>
      <c r="B101" s="138" t="s">
        <v>82</v>
      </c>
      <c r="C101" s="138" t="s">
        <v>810</v>
      </c>
      <c r="D101" s="138" t="s">
        <v>95</v>
      </c>
      <c r="E101" s="138" t="s">
        <v>811</v>
      </c>
      <c r="F101" s="138" t="s">
        <v>97</v>
      </c>
      <c r="G101" s="139">
        <v>45861</v>
      </c>
      <c r="H101" s="139">
        <v>45870</v>
      </c>
      <c r="I101" s="139">
        <v>45982</v>
      </c>
      <c r="J101" s="138" t="s">
        <v>480</v>
      </c>
      <c r="K101" s="138" t="s">
        <v>597</v>
      </c>
      <c r="L101" s="138"/>
      <c r="M101" s="140" t="s">
        <v>2156</v>
      </c>
    </row>
    <row r="102" spans="1:13" hidden="1" x14ac:dyDescent="0.25">
      <c r="A102" s="1" t="s">
        <v>375</v>
      </c>
      <c r="B102" s="1" t="s">
        <v>535</v>
      </c>
      <c r="C102" s="1" t="s">
        <v>812</v>
      </c>
      <c r="D102" s="1" t="s">
        <v>95</v>
      </c>
      <c r="E102" s="1" t="s">
        <v>813</v>
      </c>
      <c r="F102" s="1" t="s">
        <v>97</v>
      </c>
      <c r="G102" s="134">
        <v>45877</v>
      </c>
      <c r="H102" s="134">
        <v>45877</v>
      </c>
      <c r="I102" s="134">
        <v>46333</v>
      </c>
      <c r="J102" s="1" t="s">
        <v>487</v>
      </c>
      <c r="K102" s="1" t="s">
        <v>584</v>
      </c>
      <c r="L102" s="1"/>
      <c r="M102" s="1"/>
    </row>
    <row r="103" spans="1:13" hidden="1" x14ac:dyDescent="0.25">
      <c r="A103" s="1" t="s">
        <v>375</v>
      </c>
      <c r="B103" s="1" t="s">
        <v>381</v>
      </c>
      <c r="C103" s="1" t="s">
        <v>814</v>
      </c>
      <c r="D103" s="1" t="s">
        <v>95</v>
      </c>
      <c r="E103" s="1" t="s">
        <v>815</v>
      </c>
      <c r="F103" s="1" t="s">
        <v>97</v>
      </c>
      <c r="G103" s="134">
        <v>45887</v>
      </c>
      <c r="H103" s="134">
        <v>45891</v>
      </c>
      <c r="I103" s="134">
        <v>46022</v>
      </c>
      <c r="J103" s="1" t="s">
        <v>540</v>
      </c>
      <c r="K103" s="1" t="s">
        <v>816</v>
      </c>
      <c r="L103" s="1"/>
      <c r="M103" s="1"/>
    </row>
    <row r="104" spans="1:13" hidden="1" x14ac:dyDescent="0.25">
      <c r="A104" s="1" t="s">
        <v>375</v>
      </c>
      <c r="B104" s="1" t="s">
        <v>381</v>
      </c>
      <c r="C104" s="1" t="s">
        <v>817</v>
      </c>
      <c r="D104" s="1" t="s">
        <v>95</v>
      </c>
      <c r="E104" s="1" t="s">
        <v>818</v>
      </c>
      <c r="F104" s="1" t="s">
        <v>97</v>
      </c>
      <c r="G104" s="134">
        <v>45890</v>
      </c>
      <c r="H104" s="134">
        <v>45891</v>
      </c>
      <c r="I104" s="134">
        <v>46022</v>
      </c>
      <c r="J104" s="1" t="s">
        <v>540</v>
      </c>
      <c r="K104" s="1" t="s">
        <v>816</v>
      </c>
      <c r="L104" s="1"/>
      <c r="M104" s="1"/>
    </row>
    <row r="105" spans="1:13" hidden="1" x14ac:dyDescent="0.25">
      <c r="A105" s="1" t="s">
        <v>375</v>
      </c>
      <c r="B105" s="1" t="s">
        <v>381</v>
      </c>
      <c r="C105" s="1" t="s">
        <v>819</v>
      </c>
      <c r="D105" s="1" t="s">
        <v>95</v>
      </c>
      <c r="E105" s="1" t="s">
        <v>820</v>
      </c>
      <c r="F105" s="1" t="s">
        <v>97</v>
      </c>
      <c r="G105" s="134">
        <v>45895</v>
      </c>
      <c r="H105" s="134">
        <v>45898</v>
      </c>
      <c r="I105" s="134">
        <v>46022</v>
      </c>
      <c r="J105" s="1" t="s">
        <v>540</v>
      </c>
      <c r="K105" s="1" t="s">
        <v>816</v>
      </c>
      <c r="L105" s="1"/>
      <c r="M105" s="1"/>
    </row>
    <row r="106" spans="1:13" hidden="1" x14ac:dyDescent="0.25">
      <c r="A106" s="1" t="s">
        <v>51</v>
      </c>
      <c r="B106" s="1" t="s">
        <v>82</v>
      </c>
      <c r="C106" s="1" t="s">
        <v>821</v>
      </c>
      <c r="D106" s="1" t="s">
        <v>95</v>
      </c>
      <c r="E106" s="1" t="s">
        <v>822</v>
      </c>
      <c r="F106" s="1" t="s">
        <v>96</v>
      </c>
      <c r="G106" s="134">
        <v>45897</v>
      </c>
      <c r="H106" s="134">
        <v>45898</v>
      </c>
      <c r="I106" s="134">
        <v>45898</v>
      </c>
      <c r="J106" s="1" t="s">
        <v>509</v>
      </c>
      <c r="K106" s="1" t="s">
        <v>823</v>
      </c>
      <c r="L106" s="1"/>
      <c r="M106" s="1"/>
    </row>
    <row r="107" spans="1:13" hidden="1" x14ac:dyDescent="0.25">
      <c r="A107" s="1" t="s">
        <v>51</v>
      </c>
      <c r="B107" s="1" t="s">
        <v>82</v>
      </c>
      <c r="C107" s="1" t="s">
        <v>824</v>
      </c>
      <c r="D107" s="1" t="s">
        <v>95</v>
      </c>
      <c r="E107" s="1" t="s">
        <v>825</v>
      </c>
      <c r="F107" s="1" t="s">
        <v>96</v>
      </c>
      <c r="G107" s="134">
        <v>45897</v>
      </c>
      <c r="H107" s="134">
        <v>45898</v>
      </c>
      <c r="I107" s="134">
        <v>45898</v>
      </c>
      <c r="J107" s="1" t="s">
        <v>509</v>
      </c>
      <c r="K107" s="1" t="s">
        <v>823</v>
      </c>
      <c r="L107" s="1"/>
      <c r="M107" s="1"/>
    </row>
    <row r="108" spans="1:13" ht="39.6" x14ac:dyDescent="0.25">
      <c r="A108" s="138" t="s">
        <v>375</v>
      </c>
      <c r="B108" s="138" t="s">
        <v>535</v>
      </c>
      <c r="C108" s="138" t="s">
        <v>826</v>
      </c>
      <c r="D108" s="138" t="s">
        <v>658</v>
      </c>
      <c r="E108" s="138" t="s">
        <v>827</v>
      </c>
      <c r="F108" s="138" t="s">
        <v>2157</v>
      </c>
      <c r="G108" s="139">
        <v>45908</v>
      </c>
      <c r="H108" s="139">
        <v>45964</v>
      </c>
      <c r="I108" s="139">
        <v>45968</v>
      </c>
      <c r="J108" s="138" t="s">
        <v>445</v>
      </c>
      <c r="K108" s="138" t="s">
        <v>613</v>
      </c>
      <c r="L108" s="138"/>
      <c r="M108" s="140" t="s">
        <v>2156</v>
      </c>
    </row>
    <row r="109" spans="1:13" hidden="1" x14ac:dyDescent="0.25">
      <c r="A109" s="1" t="s">
        <v>375</v>
      </c>
      <c r="B109" s="1" t="s">
        <v>535</v>
      </c>
      <c r="C109" s="1" t="s">
        <v>829</v>
      </c>
      <c r="D109" s="1" t="s">
        <v>658</v>
      </c>
      <c r="E109" s="1" t="s">
        <v>830</v>
      </c>
      <c r="F109" s="1" t="s">
        <v>99</v>
      </c>
      <c r="G109" s="134">
        <v>45909</v>
      </c>
      <c r="H109" s="134">
        <v>45940</v>
      </c>
      <c r="I109" s="134">
        <v>45989</v>
      </c>
      <c r="J109" s="1" t="s">
        <v>540</v>
      </c>
      <c r="K109" s="1" t="s">
        <v>816</v>
      </c>
      <c r="L109" s="1"/>
      <c r="M109" s="1"/>
    </row>
    <row r="110" spans="1:13" hidden="1" x14ac:dyDescent="0.25">
      <c r="A110" s="1" t="s">
        <v>51</v>
      </c>
      <c r="B110" s="1" t="s">
        <v>82</v>
      </c>
      <c r="C110" s="1" t="s">
        <v>831</v>
      </c>
      <c r="D110" s="1" t="s">
        <v>95</v>
      </c>
      <c r="E110" s="1" t="s">
        <v>832</v>
      </c>
      <c r="F110" s="1" t="s">
        <v>99</v>
      </c>
      <c r="G110" s="134">
        <v>45909</v>
      </c>
      <c r="H110" s="134">
        <v>45933</v>
      </c>
      <c r="I110" s="134">
        <v>47484</v>
      </c>
      <c r="J110" s="1" t="s">
        <v>543</v>
      </c>
      <c r="K110" s="1" t="s">
        <v>386</v>
      </c>
      <c r="L110" s="1"/>
      <c r="M110" s="1"/>
    </row>
    <row r="111" spans="1:13" ht="79.2" x14ac:dyDescent="0.25">
      <c r="A111" s="146" t="s">
        <v>375</v>
      </c>
      <c r="B111" s="146" t="s">
        <v>535</v>
      </c>
      <c r="C111" s="146" t="s">
        <v>833</v>
      </c>
      <c r="D111" s="146" t="s">
        <v>658</v>
      </c>
      <c r="E111" s="146" t="s">
        <v>834</v>
      </c>
      <c r="F111" s="146" t="s">
        <v>99</v>
      </c>
      <c r="G111" s="147">
        <v>45916</v>
      </c>
      <c r="H111" s="147">
        <v>45972</v>
      </c>
      <c r="I111" s="147">
        <v>45996</v>
      </c>
      <c r="J111" s="146" t="s">
        <v>445</v>
      </c>
      <c r="K111" s="146" t="s">
        <v>613</v>
      </c>
      <c r="L111" s="146"/>
      <c r="M111" s="148" t="s">
        <v>1216</v>
      </c>
    </row>
    <row r="112" spans="1:13" hidden="1" x14ac:dyDescent="0.25">
      <c r="A112" s="1" t="s">
        <v>375</v>
      </c>
      <c r="B112" s="1" t="s">
        <v>535</v>
      </c>
      <c r="C112" s="1" t="s">
        <v>835</v>
      </c>
      <c r="D112" s="1" t="s">
        <v>95</v>
      </c>
      <c r="E112" s="1" t="s">
        <v>836</v>
      </c>
      <c r="F112" s="1" t="s">
        <v>97</v>
      </c>
      <c r="G112" s="134">
        <v>45916</v>
      </c>
      <c r="H112" s="134">
        <v>45968</v>
      </c>
      <c r="I112" s="134">
        <v>45992</v>
      </c>
      <c r="J112" s="1" t="s">
        <v>540</v>
      </c>
      <c r="K112" s="1" t="s">
        <v>816</v>
      </c>
      <c r="L112" s="1"/>
      <c r="M112" s="1"/>
    </row>
    <row r="113" spans="1:13" hidden="1" x14ac:dyDescent="0.25">
      <c r="A113" s="1" t="s">
        <v>375</v>
      </c>
      <c r="B113" s="1" t="s">
        <v>535</v>
      </c>
      <c r="C113" s="1" t="s">
        <v>837</v>
      </c>
      <c r="D113" s="1" t="s">
        <v>95</v>
      </c>
      <c r="E113" s="1" t="s">
        <v>838</v>
      </c>
      <c r="F113" s="1" t="s">
        <v>97</v>
      </c>
      <c r="G113" s="134">
        <v>45917</v>
      </c>
      <c r="H113" s="134">
        <v>45926</v>
      </c>
      <c r="I113" s="134">
        <v>46022</v>
      </c>
      <c r="J113" s="1" t="s">
        <v>572</v>
      </c>
      <c r="K113" s="1" t="s">
        <v>839</v>
      </c>
      <c r="L113" s="1"/>
      <c r="M113" s="1"/>
    </row>
    <row r="114" spans="1:13" hidden="1" x14ac:dyDescent="0.25">
      <c r="A114" s="1" t="s">
        <v>375</v>
      </c>
      <c r="B114" s="1" t="s">
        <v>535</v>
      </c>
      <c r="C114" s="1" t="s">
        <v>840</v>
      </c>
      <c r="D114" s="1" t="s">
        <v>95</v>
      </c>
      <c r="E114" s="1" t="s">
        <v>841</v>
      </c>
      <c r="F114" s="1" t="s">
        <v>97</v>
      </c>
      <c r="G114" s="134">
        <v>45917</v>
      </c>
      <c r="H114" s="134">
        <v>45968</v>
      </c>
      <c r="I114" s="134">
        <v>45992</v>
      </c>
      <c r="J114" s="1" t="s">
        <v>572</v>
      </c>
      <c r="K114" s="1" t="s">
        <v>839</v>
      </c>
      <c r="L114" s="1"/>
      <c r="M114" s="1"/>
    </row>
    <row r="115" spans="1:13" hidden="1" x14ac:dyDescent="0.25">
      <c r="A115" s="1" t="s">
        <v>375</v>
      </c>
      <c r="B115" s="1" t="s">
        <v>535</v>
      </c>
      <c r="C115" s="1" t="s">
        <v>842</v>
      </c>
      <c r="D115" s="1" t="s">
        <v>95</v>
      </c>
      <c r="E115" s="1" t="s">
        <v>843</v>
      </c>
      <c r="F115" s="1" t="s">
        <v>97</v>
      </c>
      <c r="G115" s="134">
        <v>45918</v>
      </c>
      <c r="H115" s="134">
        <v>45926</v>
      </c>
      <c r="I115" s="134">
        <v>46022</v>
      </c>
      <c r="J115" s="1" t="s">
        <v>572</v>
      </c>
      <c r="K115" s="1" t="s">
        <v>839</v>
      </c>
      <c r="L115" s="1"/>
      <c r="M115" s="1"/>
    </row>
    <row r="116" spans="1:13" hidden="1" x14ac:dyDescent="0.25">
      <c r="A116" s="1" t="s">
        <v>375</v>
      </c>
      <c r="B116" s="1" t="s">
        <v>535</v>
      </c>
      <c r="C116" s="1" t="s">
        <v>844</v>
      </c>
      <c r="D116" s="1" t="s">
        <v>95</v>
      </c>
      <c r="E116" s="1" t="s">
        <v>845</v>
      </c>
      <c r="F116" s="1" t="s">
        <v>97</v>
      </c>
      <c r="G116" s="134">
        <v>45918</v>
      </c>
      <c r="H116" s="134">
        <v>45926</v>
      </c>
      <c r="I116" s="134">
        <v>46022</v>
      </c>
      <c r="J116" s="1" t="s">
        <v>572</v>
      </c>
      <c r="K116" s="1" t="s">
        <v>839</v>
      </c>
      <c r="L116" s="1"/>
      <c r="M116" s="1"/>
    </row>
    <row r="117" spans="1:13" hidden="1" x14ac:dyDescent="0.25">
      <c r="A117" s="1" t="s">
        <v>375</v>
      </c>
      <c r="B117" s="1" t="s">
        <v>535</v>
      </c>
      <c r="C117" s="1" t="s">
        <v>846</v>
      </c>
      <c r="D117" s="1" t="s">
        <v>95</v>
      </c>
      <c r="E117" s="1" t="s">
        <v>847</v>
      </c>
      <c r="F117" s="1" t="s">
        <v>97</v>
      </c>
      <c r="G117" s="134">
        <v>45918</v>
      </c>
      <c r="H117" s="134">
        <v>45926</v>
      </c>
      <c r="I117" s="134">
        <v>46022</v>
      </c>
      <c r="J117" s="1" t="s">
        <v>572</v>
      </c>
      <c r="K117" s="1" t="s">
        <v>839</v>
      </c>
      <c r="L117" s="1"/>
      <c r="M117" s="1"/>
    </row>
    <row r="118" spans="1:13" hidden="1" x14ac:dyDescent="0.25">
      <c r="A118" s="1" t="s">
        <v>375</v>
      </c>
      <c r="B118" s="1" t="s">
        <v>535</v>
      </c>
      <c r="C118" s="1" t="s">
        <v>848</v>
      </c>
      <c r="D118" s="1" t="s">
        <v>95</v>
      </c>
      <c r="E118" s="1" t="s">
        <v>849</v>
      </c>
      <c r="F118" s="1" t="s">
        <v>97</v>
      </c>
      <c r="G118" s="134">
        <v>45918</v>
      </c>
      <c r="H118" s="134">
        <v>45926</v>
      </c>
      <c r="I118" s="134">
        <v>46022</v>
      </c>
      <c r="J118" s="1" t="s">
        <v>572</v>
      </c>
      <c r="K118" s="1" t="s">
        <v>839</v>
      </c>
      <c r="L118" s="1"/>
      <c r="M118" s="1"/>
    </row>
    <row r="119" spans="1:13" hidden="1" x14ac:dyDescent="0.25">
      <c r="A119" s="1" t="s">
        <v>375</v>
      </c>
      <c r="B119" s="1" t="s">
        <v>535</v>
      </c>
      <c r="C119" s="1" t="s">
        <v>850</v>
      </c>
      <c r="D119" s="1" t="s">
        <v>95</v>
      </c>
      <c r="E119" s="1" t="s">
        <v>851</v>
      </c>
      <c r="F119" s="1" t="s">
        <v>97</v>
      </c>
      <c r="G119" s="134">
        <v>45918</v>
      </c>
      <c r="H119" s="134">
        <v>45926</v>
      </c>
      <c r="I119" s="134">
        <v>46022</v>
      </c>
      <c r="J119" s="1" t="s">
        <v>572</v>
      </c>
      <c r="K119" s="1" t="s">
        <v>839</v>
      </c>
      <c r="L119" s="1"/>
      <c r="M119" s="1"/>
    </row>
    <row r="120" spans="1:13" hidden="1" x14ac:dyDescent="0.25">
      <c r="A120" s="1" t="s">
        <v>375</v>
      </c>
      <c r="B120" s="1" t="s">
        <v>535</v>
      </c>
      <c r="C120" s="1" t="s">
        <v>852</v>
      </c>
      <c r="D120" s="1" t="s">
        <v>95</v>
      </c>
      <c r="E120" s="1" t="s">
        <v>853</v>
      </c>
      <c r="F120" s="1" t="s">
        <v>97</v>
      </c>
      <c r="G120" s="134">
        <v>45918</v>
      </c>
      <c r="H120" s="134">
        <v>45926</v>
      </c>
      <c r="I120" s="134">
        <v>46022</v>
      </c>
      <c r="J120" s="1" t="s">
        <v>572</v>
      </c>
      <c r="K120" s="1" t="s">
        <v>839</v>
      </c>
      <c r="L120" s="1"/>
      <c r="M120" s="1"/>
    </row>
    <row r="121" spans="1:13" hidden="1" x14ac:dyDescent="0.25">
      <c r="A121" s="1" t="s">
        <v>375</v>
      </c>
      <c r="B121" s="1" t="s">
        <v>535</v>
      </c>
      <c r="C121" s="1" t="s">
        <v>854</v>
      </c>
      <c r="D121" s="1" t="s">
        <v>95</v>
      </c>
      <c r="E121" s="1" t="s">
        <v>855</v>
      </c>
      <c r="F121" s="1" t="s">
        <v>97</v>
      </c>
      <c r="G121" s="134">
        <v>45918</v>
      </c>
      <c r="H121" s="134">
        <v>45968</v>
      </c>
      <c r="I121" s="134">
        <v>45992</v>
      </c>
      <c r="J121" s="1" t="s">
        <v>572</v>
      </c>
      <c r="K121" s="1" t="s">
        <v>839</v>
      </c>
      <c r="L121" s="1"/>
      <c r="M121" s="1"/>
    </row>
    <row r="122" spans="1:13" hidden="1" x14ac:dyDescent="0.25">
      <c r="A122" s="1" t="s">
        <v>375</v>
      </c>
      <c r="B122" s="1" t="s">
        <v>535</v>
      </c>
      <c r="C122" s="1" t="s">
        <v>856</v>
      </c>
      <c r="D122" s="1" t="s">
        <v>95</v>
      </c>
      <c r="E122" s="1" t="s">
        <v>857</v>
      </c>
      <c r="F122" s="1" t="s">
        <v>97</v>
      </c>
      <c r="G122" s="134">
        <v>45918</v>
      </c>
      <c r="H122" s="134">
        <v>45926</v>
      </c>
      <c r="I122" s="134">
        <v>46022</v>
      </c>
      <c r="J122" s="1" t="s">
        <v>572</v>
      </c>
      <c r="K122" s="1" t="s">
        <v>839</v>
      </c>
      <c r="L122" s="1"/>
      <c r="M122" s="1"/>
    </row>
    <row r="123" spans="1:13" hidden="1" x14ac:dyDescent="0.25">
      <c r="A123" s="1" t="s">
        <v>375</v>
      </c>
      <c r="B123" s="1" t="s">
        <v>535</v>
      </c>
      <c r="C123" s="1" t="s">
        <v>858</v>
      </c>
      <c r="D123" s="1" t="s">
        <v>95</v>
      </c>
      <c r="E123" s="1" t="s">
        <v>859</v>
      </c>
      <c r="F123" s="1" t="s">
        <v>97</v>
      </c>
      <c r="G123" s="134">
        <v>45918</v>
      </c>
      <c r="H123" s="134">
        <v>45926</v>
      </c>
      <c r="I123" s="134">
        <v>46022</v>
      </c>
      <c r="J123" s="1" t="s">
        <v>540</v>
      </c>
      <c r="K123" s="1" t="s">
        <v>816</v>
      </c>
      <c r="L123" s="1"/>
      <c r="M123" s="1"/>
    </row>
    <row r="124" spans="1:13" hidden="1" x14ac:dyDescent="0.25">
      <c r="A124" s="1" t="s">
        <v>375</v>
      </c>
      <c r="B124" s="1" t="s">
        <v>535</v>
      </c>
      <c r="C124" s="1" t="s">
        <v>860</v>
      </c>
      <c r="D124" s="1" t="s">
        <v>95</v>
      </c>
      <c r="E124" s="1" t="s">
        <v>861</v>
      </c>
      <c r="F124" s="1" t="s">
        <v>97</v>
      </c>
      <c r="G124" s="134">
        <v>45918</v>
      </c>
      <c r="H124" s="134">
        <v>45968</v>
      </c>
      <c r="I124" s="134">
        <v>45992</v>
      </c>
      <c r="J124" s="1" t="s">
        <v>540</v>
      </c>
      <c r="K124" s="1" t="s">
        <v>816</v>
      </c>
      <c r="L124" s="1"/>
      <c r="M124" s="1"/>
    </row>
    <row r="125" spans="1:13" hidden="1" x14ac:dyDescent="0.25">
      <c r="A125" s="1" t="s">
        <v>375</v>
      </c>
      <c r="B125" s="1" t="s">
        <v>535</v>
      </c>
      <c r="C125" s="1" t="s">
        <v>862</v>
      </c>
      <c r="D125" s="1" t="s">
        <v>95</v>
      </c>
      <c r="E125" s="1" t="s">
        <v>863</v>
      </c>
      <c r="F125" s="1" t="s">
        <v>97</v>
      </c>
      <c r="G125" s="134">
        <v>45918</v>
      </c>
      <c r="H125" s="134">
        <v>45968</v>
      </c>
      <c r="I125" s="134">
        <v>45992</v>
      </c>
      <c r="J125" s="1" t="s">
        <v>540</v>
      </c>
      <c r="K125" s="1" t="s">
        <v>816</v>
      </c>
      <c r="L125" s="1"/>
      <c r="M125" s="1"/>
    </row>
    <row r="126" spans="1:13" hidden="1" x14ac:dyDescent="0.25">
      <c r="A126" s="1" t="s">
        <v>375</v>
      </c>
      <c r="B126" s="1" t="s">
        <v>535</v>
      </c>
      <c r="C126" s="1" t="s">
        <v>864</v>
      </c>
      <c r="D126" s="1" t="s">
        <v>95</v>
      </c>
      <c r="E126" s="1" t="s">
        <v>865</v>
      </c>
      <c r="F126" s="1" t="s">
        <v>97</v>
      </c>
      <c r="G126" s="134">
        <v>45918</v>
      </c>
      <c r="H126" s="134">
        <v>45926</v>
      </c>
      <c r="I126" s="134">
        <v>46022</v>
      </c>
      <c r="J126" s="1" t="s">
        <v>540</v>
      </c>
      <c r="K126" s="1" t="s">
        <v>816</v>
      </c>
      <c r="L126" s="1"/>
      <c r="M126" s="1"/>
    </row>
    <row r="127" spans="1:13" hidden="1" x14ac:dyDescent="0.25">
      <c r="A127" s="1" t="s">
        <v>375</v>
      </c>
      <c r="B127" s="1" t="s">
        <v>535</v>
      </c>
      <c r="C127" s="1" t="s">
        <v>866</v>
      </c>
      <c r="D127" s="1" t="s">
        <v>95</v>
      </c>
      <c r="E127" s="1" t="s">
        <v>867</v>
      </c>
      <c r="F127" s="1" t="s">
        <v>97</v>
      </c>
      <c r="G127" s="134">
        <v>45918</v>
      </c>
      <c r="H127" s="134">
        <v>45926</v>
      </c>
      <c r="I127" s="134">
        <v>46022</v>
      </c>
      <c r="J127" s="1" t="s">
        <v>540</v>
      </c>
      <c r="K127" s="1" t="s">
        <v>816</v>
      </c>
      <c r="L127" s="1"/>
      <c r="M127" s="1"/>
    </row>
    <row r="128" spans="1:13" hidden="1" x14ac:dyDescent="0.25">
      <c r="A128" s="1" t="s">
        <v>375</v>
      </c>
      <c r="B128" s="1" t="s">
        <v>535</v>
      </c>
      <c r="C128" s="1" t="s">
        <v>868</v>
      </c>
      <c r="D128" s="1" t="s">
        <v>95</v>
      </c>
      <c r="E128" s="1" t="s">
        <v>869</v>
      </c>
      <c r="F128" s="1" t="s">
        <v>97</v>
      </c>
      <c r="G128" s="134">
        <v>45918</v>
      </c>
      <c r="H128" s="134">
        <v>45926</v>
      </c>
      <c r="I128" s="134">
        <v>46022</v>
      </c>
      <c r="J128" s="1" t="s">
        <v>540</v>
      </c>
      <c r="K128" s="1" t="s">
        <v>816</v>
      </c>
      <c r="L128" s="1"/>
      <c r="M128" s="1"/>
    </row>
    <row r="129" spans="1:13" hidden="1" x14ac:dyDescent="0.25">
      <c r="A129" s="1" t="s">
        <v>375</v>
      </c>
      <c r="B129" s="1" t="s">
        <v>535</v>
      </c>
      <c r="C129" s="1" t="s">
        <v>870</v>
      </c>
      <c r="D129" s="1" t="s">
        <v>95</v>
      </c>
      <c r="E129" s="1" t="s">
        <v>871</v>
      </c>
      <c r="F129" s="1" t="s">
        <v>97</v>
      </c>
      <c r="G129" s="134">
        <v>45918</v>
      </c>
      <c r="H129" s="134">
        <v>45926</v>
      </c>
      <c r="I129" s="134">
        <v>46022</v>
      </c>
      <c r="J129" s="1" t="s">
        <v>540</v>
      </c>
      <c r="K129" s="1" t="s">
        <v>816</v>
      </c>
      <c r="L129" s="1"/>
      <c r="M129" s="1"/>
    </row>
    <row r="130" spans="1:13" hidden="1" x14ac:dyDescent="0.25">
      <c r="A130" s="1" t="s">
        <v>375</v>
      </c>
      <c r="B130" s="1" t="s">
        <v>535</v>
      </c>
      <c r="C130" s="1" t="s">
        <v>872</v>
      </c>
      <c r="D130" s="1" t="s">
        <v>95</v>
      </c>
      <c r="E130" s="1" t="s">
        <v>873</v>
      </c>
      <c r="F130" s="1" t="s">
        <v>97</v>
      </c>
      <c r="G130" s="134">
        <v>45918</v>
      </c>
      <c r="H130" s="134">
        <v>45968</v>
      </c>
      <c r="I130" s="134">
        <v>45992</v>
      </c>
      <c r="J130" s="1" t="s">
        <v>540</v>
      </c>
      <c r="K130" s="1" t="s">
        <v>816</v>
      </c>
      <c r="L130" s="1"/>
      <c r="M130" s="1"/>
    </row>
    <row r="131" spans="1:13" hidden="1" x14ac:dyDescent="0.25">
      <c r="A131" s="1" t="s">
        <v>375</v>
      </c>
      <c r="B131" s="1" t="s">
        <v>535</v>
      </c>
      <c r="C131" s="1" t="s">
        <v>874</v>
      </c>
      <c r="D131" s="1" t="s">
        <v>95</v>
      </c>
      <c r="E131" s="1" t="s">
        <v>875</v>
      </c>
      <c r="F131" s="1" t="s">
        <v>97</v>
      </c>
      <c r="G131" s="134">
        <v>45918</v>
      </c>
      <c r="H131" s="134">
        <v>45926</v>
      </c>
      <c r="I131" s="134">
        <v>46022</v>
      </c>
      <c r="J131" s="1" t="s">
        <v>540</v>
      </c>
      <c r="K131" s="1" t="s">
        <v>816</v>
      </c>
      <c r="L131" s="1"/>
      <c r="M131" s="1"/>
    </row>
    <row r="132" spans="1:13" ht="52.8" x14ac:dyDescent="0.25">
      <c r="A132" s="142" t="s">
        <v>51</v>
      </c>
      <c r="B132" s="142" t="s">
        <v>82</v>
      </c>
      <c r="C132" s="142" t="s">
        <v>876</v>
      </c>
      <c r="D132" s="142" t="s">
        <v>658</v>
      </c>
      <c r="E132" s="142" t="s">
        <v>877</v>
      </c>
      <c r="F132" s="142" t="s">
        <v>98</v>
      </c>
      <c r="G132" s="143">
        <v>45922</v>
      </c>
      <c r="H132" s="142"/>
      <c r="I132" s="143">
        <v>46010</v>
      </c>
      <c r="J132" s="142" t="s">
        <v>457</v>
      </c>
      <c r="K132" s="142" t="s">
        <v>88</v>
      </c>
      <c r="L132" s="142"/>
      <c r="M132" s="144" t="s">
        <v>2158</v>
      </c>
    </row>
    <row r="133" spans="1:13" hidden="1" x14ac:dyDescent="0.25">
      <c r="A133" s="1" t="s">
        <v>375</v>
      </c>
      <c r="B133" s="1" t="s">
        <v>535</v>
      </c>
      <c r="C133" s="1" t="s">
        <v>878</v>
      </c>
      <c r="D133" s="1" t="s">
        <v>95</v>
      </c>
      <c r="E133" s="1" t="s">
        <v>879</v>
      </c>
      <c r="F133" s="1" t="s">
        <v>97</v>
      </c>
      <c r="G133" s="134">
        <v>45923</v>
      </c>
      <c r="H133" s="134">
        <v>45968</v>
      </c>
      <c r="I133" s="134">
        <v>45992</v>
      </c>
      <c r="J133" s="1" t="s">
        <v>445</v>
      </c>
      <c r="K133" s="1" t="s">
        <v>613</v>
      </c>
      <c r="L133" s="1"/>
      <c r="M133" s="1"/>
    </row>
    <row r="134" spans="1:13" hidden="1" x14ac:dyDescent="0.25">
      <c r="A134" s="1" t="s">
        <v>375</v>
      </c>
      <c r="B134" s="1" t="s">
        <v>535</v>
      </c>
      <c r="C134" s="1" t="s">
        <v>880</v>
      </c>
      <c r="D134" s="1" t="s">
        <v>95</v>
      </c>
      <c r="E134" s="1" t="s">
        <v>881</v>
      </c>
      <c r="F134" s="1" t="s">
        <v>97</v>
      </c>
      <c r="G134" s="134">
        <v>45923</v>
      </c>
      <c r="H134" s="134">
        <v>45933</v>
      </c>
      <c r="I134" s="134">
        <v>46022</v>
      </c>
      <c r="J134" s="1" t="s">
        <v>445</v>
      </c>
      <c r="K134" s="1" t="s">
        <v>613</v>
      </c>
      <c r="L134" s="1"/>
      <c r="M134" s="1"/>
    </row>
    <row r="135" spans="1:13" hidden="1" x14ac:dyDescent="0.25">
      <c r="A135" s="1" t="s">
        <v>375</v>
      </c>
      <c r="B135" s="1" t="s">
        <v>535</v>
      </c>
      <c r="C135" s="1" t="s">
        <v>882</v>
      </c>
      <c r="D135" s="1" t="s">
        <v>95</v>
      </c>
      <c r="E135" s="1" t="s">
        <v>883</v>
      </c>
      <c r="F135" s="1" t="s">
        <v>97</v>
      </c>
      <c r="G135" s="134">
        <v>45923</v>
      </c>
      <c r="H135" s="134">
        <v>45926</v>
      </c>
      <c r="I135" s="134">
        <v>46022</v>
      </c>
      <c r="J135" s="1" t="s">
        <v>540</v>
      </c>
      <c r="K135" s="1" t="s">
        <v>816</v>
      </c>
      <c r="L135" s="1"/>
      <c r="M135" s="1"/>
    </row>
    <row r="136" spans="1:13" hidden="1" x14ac:dyDescent="0.25">
      <c r="A136" s="1" t="s">
        <v>375</v>
      </c>
      <c r="B136" s="1" t="s">
        <v>535</v>
      </c>
      <c r="C136" s="1" t="s">
        <v>884</v>
      </c>
      <c r="D136" s="1" t="s">
        <v>95</v>
      </c>
      <c r="E136" s="1" t="s">
        <v>885</v>
      </c>
      <c r="F136" s="1" t="s">
        <v>97</v>
      </c>
      <c r="G136" s="134">
        <v>45924</v>
      </c>
      <c r="H136" s="134">
        <v>45933</v>
      </c>
      <c r="I136" s="134">
        <v>46022</v>
      </c>
      <c r="J136" s="1" t="s">
        <v>445</v>
      </c>
      <c r="K136" s="1" t="s">
        <v>613</v>
      </c>
      <c r="L136" s="1"/>
      <c r="M136" s="1"/>
    </row>
    <row r="137" spans="1:13" hidden="1" x14ac:dyDescent="0.25">
      <c r="A137" s="1" t="s">
        <v>378</v>
      </c>
      <c r="B137" s="1" t="s">
        <v>82</v>
      </c>
      <c r="C137" s="1" t="s">
        <v>889</v>
      </c>
      <c r="D137" s="1" t="s">
        <v>658</v>
      </c>
      <c r="E137" s="1" t="s">
        <v>890</v>
      </c>
      <c r="F137" s="1" t="s">
        <v>97</v>
      </c>
      <c r="G137" s="134">
        <v>45932</v>
      </c>
      <c r="H137" s="134">
        <v>45940</v>
      </c>
      <c r="I137" s="134">
        <v>45987</v>
      </c>
      <c r="J137" s="1" t="s">
        <v>887</v>
      </c>
      <c r="K137" s="1" t="s">
        <v>888</v>
      </c>
      <c r="L137" s="1"/>
      <c r="M137" s="1"/>
    </row>
    <row r="138" spans="1:13" hidden="1" x14ac:dyDescent="0.25">
      <c r="A138" s="1" t="s">
        <v>378</v>
      </c>
      <c r="B138" s="1" t="s">
        <v>82</v>
      </c>
      <c r="C138" s="1" t="s">
        <v>891</v>
      </c>
      <c r="D138" s="1" t="s">
        <v>95</v>
      </c>
      <c r="E138" s="1" t="s">
        <v>892</v>
      </c>
      <c r="F138" s="1" t="s">
        <v>97</v>
      </c>
      <c r="G138" s="134">
        <v>45932</v>
      </c>
      <c r="H138" s="134">
        <v>45940</v>
      </c>
      <c r="I138" s="134">
        <v>45987</v>
      </c>
      <c r="J138" s="1" t="s">
        <v>887</v>
      </c>
      <c r="K138" s="1" t="s">
        <v>888</v>
      </c>
      <c r="L138" s="1"/>
      <c r="M138" s="1"/>
    </row>
    <row r="139" spans="1:13" hidden="1" x14ac:dyDescent="0.25">
      <c r="A139" s="1" t="s">
        <v>51</v>
      </c>
      <c r="B139" s="1" t="s">
        <v>82</v>
      </c>
      <c r="C139" s="1" t="s">
        <v>894</v>
      </c>
      <c r="D139" s="1" t="s">
        <v>658</v>
      </c>
      <c r="E139" s="1" t="s">
        <v>895</v>
      </c>
      <c r="F139" s="1" t="s">
        <v>98</v>
      </c>
      <c r="G139" s="134">
        <v>45933</v>
      </c>
      <c r="H139" s="1"/>
      <c r="I139" s="134">
        <v>46052</v>
      </c>
      <c r="J139" s="1" t="s">
        <v>432</v>
      </c>
      <c r="K139" s="1" t="s">
        <v>485</v>
      </c>
      <c r="L139" s="1"/>
      <c r="M139" s="1"/>
    </row>
    <row r="140" spans="1:13" hidden="1" x14ac:dyDescent="0.25">
      <c r="A140" s="1" t="s">
        <v>375</v>
      </c>
      <c r="B140" s="1" t="s">
        <v>381</v>
      </c>
      <c r="C140" s="1" t="s">
        <v>896</v>
      </c>
      <c r="D140" s="1" t="s">
        <v>95</v>
      </c>
      <c r="E140" s="1" t="s">
        <v>897</v>
      </c>
      <c r="F140" s="1" t="s">
        <v>97</v>
      </c>
      <c r="G140" s="134">
        <v>45933</v>
      </c>
      <c r="H140" s="134">
        <v>45933</v>
      </c>
      <c r="I140" s="134">
        <v>45989</v>
      </c>
      <c r="J140" s="1" t="s">
        <v>487</v>
      </c>
      <c r="K140" s="1" t="s">
        <v>898</v>
      </c>
      <c r="L140" s="1"/>
      <c r="M140" s="1"/>
    </row>
    <row r="141" spans="1:13" ht="52.8" x14ac:dyDescent="0.25">
      <c r="A141" s="142" t="s">
        <v>51</v>
      </c>
      <c r="B141" s="142" t="s">
        <v>82</v>
      </c>
      <c r="C141" s="142" t="s">
        <v>1289</v>
      </c>
      <c r="D141" s="142" t="s">
        <v>658</v>
      </c>
      <c r="E141" s="142" t="s">
        <v>1290</v>
      </c>
      <c r="F141" s="142" t="s">
        <v>98</v>
      </c>
      <c r="G141" s="143">
        <v>45937</v>
      </c>
      <c r="H141" s="142"/>
      <c r="I141" s="143">
        <v>46024</v>
      </c>
      <c r="J141" s="142" t="s">
        <v>457</v>
      </c>
      <c r="K141" s="142" t="s">
        <v>526</v>
      </c>
      <c r="L141" s="142"/>
      <c r="M141" s="144" t="s">
        <v>2158</v>
      </c>
    </row>
    <row r="142" spans="1:13" hidden="1" x14ac:dyDescent="0.25">
      <c r="A142" s="1" t="s">
        <v>51</v>
      </c>
      <c r="B142" s="1" t="s">
        <v>82</v>
      </c>
      <c r="C142" s="1" t="s">
        <v>1291</v>
      </c>
      <c r="D142" s="1" t="s">
        <v>658</v>
      </c>
      <c r="E142" s="1" t="s">
        <v>1778</v>
      </c>
      <c r="F142" s="1" t="s">
        <v>98</v>
      </c>
      <c r="G142" s="134">
        <v>45939</v>
      </c>
      <c r="H142" s="134">
        <v>45986</v>
      </c>
      <c r="I142" s="134">
        <v>46021</v>
      </c>
      <c r="J142" s="1" t="s">
        <v>990</v>
      </c>
      <c r="K142" s="1" t="s">
        <v>371</v>
      </c>
      <c r="L142" s="1"/>
      <c r="M142" s="1"/>
    </row>
    <row r="143" spans="1:13" hidden="1" x14ac:dyDescent="0.25">
      <c r="A143" s="1" t="s">
        <v>375</v>
      </c>
      <c r="B143" s="1" t="s">
        <v>535</v>
      </c>
      <c r="C143" s="1" t="s">
        <v>1217</v>
      </c>
      <c r="D143" s="1" t="s">
        <v>658</v>
      </c>
      <c r="E143" s="1" t="s">
        <v>1218</v>
      </c>
      <c r="F143" s="1" t="s">
        <v>97</v>
      </c>
      <c r="G143" s="134">
        <v>45943</v>
      </c>
      <c r="H143" s="134">
        <v>45975</v>
      </c>
      <c r="I143" s="134">
        <v>45989</v>
      </c>
      <c r="J143" s="1" t="s">
        <v>487</v>
      </c>
      <c r="K143" s="1" t="s">
        <v>898</v>
      </c>
      <c r="L143" s="1"/>
      <c r="M143" s="1"/>
    </row>
    <row r="144" spans="1:13" hidden="1" x14ac:dyDescent="0.25">
      <c r="A144" s="1" t="s">
        <v>375</v>
      </c>
      <c r="B144" s="1"/>
      <c r="C144" s="1" t="s">
        <v>1219</v>
      </c>
      <c r="D144" s="1" t="s">
        <v>658</v>
      </c>
      <c r="E144" s="1" t="s">
        <v>1220</v>
      </c>
      <c r="F144" s="1" t="s">
        <v>99</v>
      </c>
      <c r="G144" s="134">
        <v>45943</v>
      </c>
      <c r="H144" s="134">
        <v>45961</v>
      </c>
      <c r="I144" s="134">
        <v>45991</v>
      </c>
      <c r="J144" s="1" t="s">
        <v>445</v>
      </c>
      <c r="K144" s="1" t="s">
        <v>631</v>
      </c>
      <c r="L144" s="1"/>
      <c r="M144" s="1"/>
    </row>
    <row r="145" spans="1:13" hidden="1" x14ac:dyDescent="0.25">
      <c r="A145" s="1" t="s">
        <v>375</v>
      </c>
      <c r="B145" s="1" t="s">
        <v>381</v>
      </c>
      <c r="C145" s="1" t="s">
        <v>1221</v>
      </c>
      <c r="D145" s="1" t="s">
        <v>95</v>
      </c>
      <c r="E145" s="1" t="s">
        <v>1222</v>
      </c>
      <c r="F145" s="1" t="s">
        <v>97</v>
      </c>
      <c r="G145" s="134">
        <v>45943</v>
      </c>
      <c r="H145" s="134">
        <v>45944</v>
      </c>
      <c r="I145" s="134">
        <v>45991</v>
      </c>
      <c r="J145" s="1" t="s">
        <v>572</v>
      </c>
      <c r="K145" s="1" t="s">
        <v>1223</v>
      </c>
      <c r="L145" s="1"/>
      <c r="M145" s="1"/>
    </row>
    <row r="146" spans="1:13" hidden="1" x14ac:dyDescent="0.25">
      <c r="A146" s="1" t="s">
        <v>375</v>
      </c>
      <c r="B146" s="1" t="s">
        <v>381</v>
      </c>
      <c r="C146" s="1" t="s">
        <v>1292</v>
      </c>
      <c r="D146" s="1" t="s">
        <v>95</v>
      </c>
      <c r="E146" s="1" t="s">
        <v>1293</v>
      </c>
      <c r="F146" s="1" t="s">
        <v>97</v>
      </c>
      <c r="G146" s="134">
        <v>45943</v>
      </c>
      <c r="H146" s="134">
        <v>45944</v>
      </c>
      <c r="I146" s="134">
        <v>45991</v>
      </c>
      <c r="J146" s="1" t="s">
        <v>572</v>
      </c>
      <c r="K146" s="1" t="s">
        <v>1223</v>
      </c>
      <c r="L146" s="1"/>
      <c r="M146" s="1"/>
    </row>
    <row r="147" spans="1:13" hidden="1" x14ac:dyDescent="0.25">
      <c r="A147" s="1" t="s">
        <v>375</v>
      </c>
      <c r="B147" s="1" t="s">
        <v>381</v>
      </c>
      <c r="C147" s="1" t="s">
        <v>1294</v>
      </c>
      <c r="D147" s="1" t="s">
        <v>95</v>
      </c>
      <c r="E147" s="1" t="s">
        <v>1295</v>
      </c>
      <c r="F147" s="1" t="s">
        <v>97</v>
      </c>
      <c r="G147" s="134">
        <v>45944</v>
      </c>
      <c r="H147" s="134">
        <v>45944</v>
      </c>
      <c r="I147" s="134">
        <v>45991</v>
      </c>
      <c r="J147" s="1" t="s">
        <v>572</v>
      </c>
      <c r="K147" s="1" t="s">
        <v>1223</v>
      </c>
      <c r="L147" s="1"/>
      <c r="M147" s="1"/>
    </row>
    <row r="148" spans="1:13" hidden="1" x14ac:dyDescent="0.25">
      <c r="A148" s="1" t="s">
        <v>375</v>
      </c>
      <c r="B148" s="1" t="s">
        <v>381</v>
      </c>
      <c r="C148" s="1" t="s">
        <v>1296</v>
      </c>
      <c r="D148" s="1" t="s">
        <v>95</v>
      </c>
      <c r="E148" s="1" t="s">
        <v>1297</v>
      </c>
      <c r="F148" s="1" t="s">
        <v>97</v>
      </c>
      <c r="G148" s="134">
        <v>45944</v>
      </c>
      <c r="H148" s="134">
        <v>45944</v>
      </c>
      <c r="I148" s="134">
        <v>45991</v>
      </c>
      <c r="J148" s="1" t="s">
        <v>572</v>
      </c>
      <c r="K148" s="1" t="s">
        <v>1223</v>
      </c>
      <c r="L148" s="1"/>
      <c r="M148" s="1"/>
    </row>
    <row r="149" spans="1:13" hidden="1" x14ac:dyDescent="0.25">
      <c r="A149" s="1" t="s">
        <v>375</v>
      </c>
      <c r="B149" s="1" t="s">
        <v>381</v>
      </c>
      <c r="C149" s="1" t="s">
        <v>1298</v>
      </c>
      <c r="D149" s="1" t="s">
        <v>95</v>
      </c>
      <c r="E149" s="1" t="s">
        <v>1299</v>
      </c>
      <c r="F149" s="1" t="s">
        <v>97</v>
      </c>
      <c r="G149" s="134">
        <v>45944</v>
      </c>
      <c r="H149" s="134">
        <v>45944</v>
      </c>
      <c r="I149" s="134">
        <v>45991</v>
      </c>
      <c r="J149" s="1" t="s">
        <v>572</v>
      </c>
      <c r="K149" s="1" t="s">
        <v>1223</v>
      </c>
      <c r="L149" s="1"/>
      <c r="M149" s="1"/>
    </row>
    <row r="150" spans="1:13" hidden="1" x14ac:dyDescent="0.25">
      <c r="A150" s="1" t="s">
        <v>375</v>
      </c>
      <c r="B150" s="1" t="s">
        <v>381</v>
      </c>
      <c r="C150" s="1" t="s">
        <v>1300</v>
      </c>
      <c r="D150" s="1" t="s">
        <v>95</v>
      </c>
      <c r="E150" s="1" t="s">
        <v>1301</v>
      </c>
      <c r="F150" s="1" t="s">
        <v>97</v>
      </c>
      <c r="G150" s="134">
        <v>45944</v>
      </c>
      <c r="H150" s="134">
        <v>45944</v>
      </c>
      <c r="I150" s="134">
        <v>45991</v>
      </c>
      <c r="J150" s="1" t="s">
        <v>572</v>
      </c>
      <c r="K150" s="1" t="s">
        <v>1223</v>
      </c>
      <c r="L150" s="1"/>
      <c r="M150" s="1"/>
    </row>
    <row r="151" spans="1:13" hidden="1" x14ac:dyDescent="0.25">
      <c r="A151" s="1" t="s">
        <v>375</v>
      </c>
      <c r="B151" s="1" t="s">
        <v>381</v>
      </c>
      <c r="C151" s="1" t="s">
        <v>1302</v>
      </c>
      <c r="D151" s="1" t="s">
        <v>95</v>
      </c>
      <c r="E151" s="1" t="s">
        <v>1303</v>
      </c>
      <c r="F151" s="1" t="s">
        <v>97</v>
      </c>
      <c r="G151" s="134">
        <v>45944</v>
      </c>
      <c r="H151" s="134">
        <v>45944</v>
      </c>
      <c r="I151" s="134">
        <v>45991</v>
      </c>
      <c r="J151" s="1" t="s">
        <v>572</v>
      </c>
      <c r="K151" s="1" t="s">
        <v>1223</v>
      </c>
      <c r="L151" s="1"/>
      <c r="M151" s="1"/>
    </row>
    <row r="152" spans="1:13" hidden="1" x14ac:dyDescent="0.25">
      <c r="A152" s="1" t="s">
        <v>375</v>
      </c>
      <c r="B152" s="1" t="s">
        <v>381</v>
      </c>
      <c r="C152" s="1" t="s">
        <v>1304</v>
      </c>
      <c r="D152" s="1" t="s">
        <v>95</v>
      </c>
      <c r="E152" s="1" t="s">
        <v>1305</v>
      </c>
      <c r="F152" s="1" t="s">
        <v>97</v>
      </c>
      <c r="G152" s="134">
        <v>45944</v>
      </c>
      <c r="H152" s="134">
        <v>45944</v>
      </c>
      <c r="I152" s="134">
        <v>45991</v>
      </c>
      <c r="J152" s="1" t="s">
        <v>572</v>
      </c>
      <c r="K152" s="1" t="s">
        <v>1223</v>
      </c>
      <c r="L152" s="1"/>
      <c r="M152" s="1"/>
    </row>
    <row r="153" spans="1:13" hidden="1" x14ac:dyDescent="0.25">
      <c r="A153" s="1" t="s">
        <v>375</v>
      </c>
      <c r="B153" s="1" t="s">
        <v>381</v>
      </c>
      <c r="C153" s="1" t="s">
        <v>1306</v>
      </c>
      <c r="D153" s="1" t="s">
        <v>95</v>
      </c>
      <c r="E153" s="1" t="s">
        <v>1307</v>
      </c>
      <c r="F153" s="1" t="s">
        <v>97</v>
      </c>
      <c r="G153" s="134">
        <v>45944</v>
      </c>
      <c r="H153" s="134">
        <v>45944</v>
      </c>
      <c r="I153" s="134">
        <v>45991</v>
      </c>
      <c r="J153" s="1" t="s">
        <v>572</v>
      </c>
      <c r="K153" s="1" t="s">
        <v>1223</v>
      </c>
      <c r="L153" s="1"/>
      <c r="M153" s="1"/>
    </row>
    <row r="154" spans="1:13" hidden="1" x14ac:dyDescent="0.25">
      <c r="A154" s="1" t="s">
        <v>375</v>
      </c>
      <c r="B154" s="1" t="s">
        <v>381</v>
      </c>
      <c r="C154" s="1" t="s">
        <v>1308</v>
      </c>
      <c r="D154" s="1" t="s">
        <v>95</v>
      </c>
      <c r="E154" s="1" t="s">
        <v>1309</v>
      </c>
      <c r="F154" s="1" t="s">
        <v>97</v>
      </c>
      <c r="G154" s="134">
        <v>45944</v>
      </c>
      <c r="H154" s="134">
        <v>45944</v>
      </c>
      <c r="I154" s="134">
        <v>45991</v>
      </c>
      <c r="J154" s="1" t="s">
        <v>572</v>
      </c>
      <c r="K154" s="1" t="s">
        <v>1223</v>
      </c>
      <c r="L154" s="1"/>
      <c r="M154" s="1"/>
    </row>
    <row r="155" spans="1:13" hidden="1" x14ac:dyDescent="0.25">
      <c r="A155" s="1" t="s">
        <v>375</v>
      </c>
      <c r="B155" s="1" t="s">
        <v>535</v>
      </c>
      <c r="C155" s="1" t="s">
        <v>1310</v>
      </c>
      <c r="D155" s="1" t="s">
        <v>658</v>
      </c>
      <c r="E155" s="1" t="s">
        <v>1311</v>
      </c>
      <c r="F155" s="1" t="s">
        <v>99</v>
      </c>
      <c r="G155" s="134">
        <v>45944</v>
      </c>
      <c r="H155" s="134">
        <v>45999</v>
      </c>
      <c r="I155" s="134">
        <v>46045</v>
      </c>
      <c r="J155" s="1" t="s">
        <v>487</v>
      </c>
      <c r="K155" s="1" t="s">
        <v>898</v>
      </c>
      <c r="L155" s="1"/>
      <c r="M155" s="1"/>
    </row>
    <row r="156" spans="1:13" hidden="1" x14ac:dyDescent="0.25">
      <c r="A156" s="1" t="s">
        <v>375</v>
      </c>
      <c r="B156" s="1" t="s">
        <v>535</v>
      </c>
      <c r="C156" s="1" t="s">
        <v>1312</v>
      </c>
      <c r="D156" s="1" t="s">
        <v>658</v>
      </c>
      <c r="E156" s="1" t="s">
        <v>1313</v>
      </c>
      <c r="F156" s="1" t="s">
        <v>97</v>
      </c>
      <c r="G156" s="134">
        <v>45944</v>
      </c>
      <c r="H156" s="134">
        <v>45958</v>
      </c>
      <c r="I156" s="134">
        <v>45989</v>
      </c>
      <c r="J156" s="1" t="s">
        <v>487</v>
      </c>
      <c r="K156" s="1" t="s">
        <v>898</v>
      </c>
      <c r="L156" s="1"/>
      <c r="M156" s="1"/>
    </row>
    <row r="157" spans="1:13" hidden="1" x14ac:dyDescent="0.25">
      <c r="A157" s="1" t="s">
        <v>375</v>
      </c>
      <c r="B157" s="1" t="s">
        <v>381</v>
      </c>
      <c r="C157" s="1" t="s">
        <v>1314</v>
      </c>
      <c r="D157" s="1" t="s">
        <v>95</v>
      </c>
      <c r="E157" s="1" t="s">
        <v>1315</v>
      </c>
      <c r="F157" s="1" t="s">
        <v>97</v>
      </c>
      <c r="G157" s="134">
        <v>45945</v>
      </c>
      <c r="H157" s="134">
        <v>45944</v>
      </c>
      <c r="I157" s="134">
        <v>45991</v>
      </c>
      <c r="J157" s="1" t="s">
        <v>540</v>
      </c>
      <c r="K157" s="1" t="s">
        <v>893</v>
      </c>
      <c r="L157" s="1"/>
      <c r="M157" s="1"/>
    </row>
    <row r="158" spans="1:13" hidden="1" x14ac:dyDescent="0.25">
      <c r="A158" s="1" t="s">
        <v>375</v>
      </c>
      <c r="B158" s="1" t="s">
        <v>381</v>
      </c>
      <c r="C158" s="1" t="s">
        <v>1316</v>
      </c>
      <c r="D158" s="1" t="s">
        <v>95</v>
      </c>
      <c r="E158" s="1" t="s">
        <v>1317</v>
      </c>
      <c r="F158" s="1" t="s">
        <v>97</v>
      </c>
      <c r="G158" s="134">
        <v>45945</v>
      </c>
      <c r="H158" s="134">
        <v>45944</v>
      </c>
      <c r="I158" s="134">
        <v>45991</v>
      </c>
      <c r="J158" s="1" t="s">
        <v>540</v>
      </c>
      <c r="K158" s="1" t="s">
        <v>893</v>
      </c>
      <c r="L158" s="1"/>
      <c r="M158" s="1"/>
    </row>
    <row r="159" spans="1:13" hidden="1" x14ac:dyDescent="0.25">
      <c r="A159" s="1" t="s">
        <v>375</v>
      </c>
      <c r="B159" s="1" t="s">
        <v>381</v>
      </c>
      <c r="C159" s="1" t="s">
        <v>1318</v>
      </c>
      <c r="D159" s="1" t="s">
        <v>95</v>
      </c>
      <c r="E159" s="1" t="s">
        <v>1319</v>
      </c>
      <c r="F159" s="1" t="s">
        <v>97</v>
      </c>
      <c r="G159" s="134">
        <v>45945</v>
      </c>
      <c r="H159" s="134">
        <v>45944</v>
      </c>
      <c r="I159" s="134">
        <v>45991</v>
      </c>
      <c r="J159" s="1" t="s">
        <v>540</v>
      </c>
      <c r="K159" s="1" t="s">
        <v>893</v>
      </c>
      <c r="L159" s="1"/>
      <c r="M159" s="1"/>
    </row>
    <row r="160" spans="1:13" hidden="1" x14ac:dyDescent="0.25">
      <c r="A160" s="1" t="s">
        <v>375</v>
      </c>
      <c r="B160" s="1" t="s">
        <v>381</v>
      </c>
      <c r="C160" s="1" t="s">
        <v>1320</v>
      </c>
      <c r="D160" s="1" t="s">
        <v>95</v>
      </c>
      <c r="E160" s="1" t="s">
        <v>1321</v>
      </c>
      <c r="F160" s="1" t="s">
        <v>97</v>
      </c>
      <c r="G160" s="134">
        <v>45945</v>
      </c>
      <c r="H160" s="134">
        <v>45944</v>
      </c>
      <c r="I160" s="134">
        <v>45991</v>
      </c>
      <c r="J160" s="1" t="s">
        <v>540</v>
      </c>
      <c r="K160" s="1" t="s">
        <v>893</v>
      </c>
      <c r="L160" s="1"/>
      <c r="M160" s="1"/>
    </row>
    <row r="161" spans="1:13" hidden="1" x14ac:dyDescent="0.25">
      <c r="A161" s="1" t="s">
        <v>375</v>
      </c>
      <c r="B161" s="1" t="s">
        <v>381</v>
      </c>
      <c r="C161" s="1" t="s">
        <v>1322</v>
      </c>
      <c r="D161" s="1" t="s">
        <v>95</v>
      </c>
      <c r="E161" s="1" t="s">
        <v>1323</v>
      </c>
      <c r="F161" s="1" t="s">
        <v>97</v>
      </c>
      <c r="G161" s="134">
        <v>45945</v>
      </c>
      <c r="H161" s="134">
        <v>45944</v>
      </c>
      <c r="I161" s="134">
        <v>45991</v>
      </c>
      <c r="J161" s="1" t="s">
        <v>540</v>
      </c>
      <c r="K161" s="1" t="s">
        <v>893</v>
      </c>
      <c r="L161" s="1"/>
      <c r="M161" s="1"/>
    </row>
    <row r="162" spans="1:13" hidden="1" x14ac:dyDescent="0.25">
      <c r="A162" s="1" t="s">
        <v>375</v>
      </c>
      <c r="B162" s="1" t="s">
        <v>381</v>
      </c>
      <c r="C162" s="1" t="s">
        <v>1324</v>
      </c>
      <c r="D162" s="1" t="s">
        <v>95</v>
      </c>
      <c r="E162" s="1" t="s">
        <v>1325</v>
      </c>
      <c r="F162" s="1" t="s">
        <v>97</v>
      </c>
      <c r="G162" s="134">
        <v>45945</v>
      </c>
      <c r="H162" s="134">
        <v>45944</v>
      </c>
      <c r="I162" s="134">
        <v>45991</v>
      </c>
      <c r="J162" s="1" t="s">
        <v>540</v>
      </c>
      <c r="K162" s="1" t="s">
        <v>893</v>
      </c>
      <c r="L162" s="1"/>
      <c r="M162" s="1"/>
    </row>
    <row r="163" spans="1:13" hidden="1" x14ac:dyDescent="0.25">
      <c r="A163" s="1" t="s">
        <v>375</v>
      </c>
      <c r="B163" s="1" t="s">
        <v>381</v>
      </c>
      <c r="C163" s="1" t="s">
        <v>1326</v>
      </c>
      <c r="D163" s="1" t="s">
        <v>95</v>
      </c>
      <c r="E163" s="1" t="s">
        <v>1327</v>
      </c>
      <c r="F163" s="1" t="s">
        <v>97</v>
      </c>
      <c r="G163" s="134">
        <v>45945</v>
      </c>
      <c r="H163" s="134">
        <v>45944</v>
      </c>
      <c r="I163" s="134">
        <v>45991</v>
      </c>
      <c r="J163" s="1" t="s">
        <v>540</v>
      </c>
      <c r="K163" s="1" t="s">
        <v>893</v>
      </c>
      <c r="L163" s="1"/>
      <c r="M163" s="1"/>
    </row>
    <row r="164" spans="1:13" hidden="1" x14ac:dyDescent="0.25">
      <c r="A164" s="1" t="s">
        <v>375</v>
      </c>
      <c r="B164" s="1" t="s">
        <v>381</v>
      </c>
      <c r="C164" s="1" t="s">
        <v>1328</v>
      </c>
      <c r="D164" s="1" t="s">
        <v>95</v>
      </c>
      <c r="E164" s="1" t="s">
        <v>1329</v>
      </c>
      <c r="F164" s="1" t="s">
        <v>97</v>
      </c>
      <c r="G164" s="134">
        <v>45945</v>
      </c>
      <c r="H164" s="134">
        <v>45944</v>
      </c>
      <c r="I164" s="134">
        <v>45991</v>
      </c>
      <c r="J164" s="1" t="s">
        <v>540</v>
      </c>
      <c r="K164" s="1" t="s">
        <v>893</v>
      </c>
      <c r="L164" s="1"/>
      <c r="M164" s="1"/>
    </row>
    <row r="165" spans="1:13" hidden="1" x14ac:dyDescent="0.25">
      <c r="A165" s="1" t="s">
        <v>375</v>
      </c>
      <c r="B165" s="1" t="s">
        <v>381</v>
      </c>
      <c r="C165" s="1" t="s">
        <v>1330</v>
      </c>
      <c r="D165" s="1" t="s">
        <v>95</v>
      </c>
      <c r="E165" s="1" t="s">
        <v>1331</v>
      </c>
      <c r="F165" s="1" t="s">
        <v>97</v>
      </c>
      <c r="G165" s="134">
        <v>45945</v>
      </c>
      <c r="H165" s="134">
        <v>45944</v>
      </c>
      <c r="I165" s="134">
        <v>45991</v>
      </c>
      <c r="J165" s="1" t="s">
        <v>540</v>
      </c>
      <c r="K165" s="1" t="s">
        <v>893</v>
      </c>
      <c r="L165" s="1"/>
      <c r="M165" s="1"/>
    </row>
    <row r="166" spans="1:13" hidden="1" x14ac:dyDescent="0.25">
      <c r="A166" s="1" t="s">
        <v>375</v>
      </c>
      <c r="B166" s="1" t="s">
        <v>381</v>
      </c>
      <c r="C166" s="1" t="s">
        <v>1332</v>
      </c>
      <c r="D166" s="1" t="s">
        <v>95</v>
      </c>
      <c r="E166" s="1" t="s">
        <v>1333</v>
      </c>
      <c r="F166" s="1" t="s">
        <v>97</v>
      </c>
      <c r="G166" s="134">
        <v>45945</v>
      </c>
      <c r="H166" s="134">
        <v>45944</v>
      </c>
      <c r="I166" s="134">
        <v>45991</v>
      </c>
      <c r="J166" s="1" t="s">
        <v>540</v>
      </c>
      <c r="K166" s="1" t="s">
        <v>893</v>
      </c>
      <c r="L166" s="1"/>
      <c r="M166" s="1"/>
    </row>
    <row r="167" spans="1:13" hidden="1" x14ac:dyDescent="0.25">
      <c r="A167" s="1" t="s">
        <v>375</v>
      </c>
      <c r="B167" s="1" t="s">
        <v>381</v>
      </c>
      <c r="C167" s="1" t="s">
        <v>1334</v>
      </c>
      <c r="D167" s="1" t="s">
        <v>95</v>
      </c>
      <c r="E167" s="1" t="s">
        <v>1335</v>
      </c>
      <c r="F167" s="1" t="s">
        <v>97</v>
      </c>
      <c r="G167" s="134">
        <v>45945</v>
      </c>
      <c r="H167" s="134">
        <v>45944</v>
      </c>
      <c r="I167" s="134">
        <v>45991</v>
      </c>
      <c r="J167" s="1" t="s">
        <v>540</v>
      </c>
      <c r="K167" s="1" t="s">
        <v>893</v>
      </c>
      <c r="L167" s="1"/>
      <c r="M167" s="1"/>
    </row>
    <row r="168" spans="1:13" hidden="1" x14ac:dyDescent="0.25">
      <c r="A168" s="1" t="s">
        <v>375</v>
      </c>
      <c r="B168" s="1" t="s">
        <v>381</v>
      </c>
      <c r="C168" s="1" t="s">
        <v>1336</v>
      </c>
      <c r="D168" s="1" t="s">
        <v>95</v>
      </c>
      <c r="E168" s="1" t="s">
        <v>1337</v>
      </c>
      <c r="F168" s="1" t="s">
        <v>97</v>
      </c>
      <c r="G168" s="134">
        <v>45945</v>
      </c>
      <c r="H168" s="134">
        <v>45944</v>
      </c>
      <c r="I168" s="134">
        <v>45991</v>
      </c>
      <c r="J168" s="1" t="s">
        <v>540</v>
      </c>
      <c r="K168" s="1" t="s">
        <v>893</v>
      </c>
      <c r="L168" s="1"/>
      <c r="M168" s="1"/>
    </row>
    <row r="169" spans="1:13" ht="39.6" x14ac:dyDescent="0.25">
      <c r="A169" s="138" t="s">
        <v>51</v>
      </c>
      <c r="B169" s="138" t="s">
        <v>82</v>
      </c>
      <c r="C169" s="138" t="s">
        <v>1338</v>
      </c>
      <c r="D169" s="138" t="s">
        <v>658</v>
      </c>
      <c r="E169" s="138" t="s">
        <v>1339</v>
      </c>
      <c r="F169" s="138" t="s">
        <v>97</v>
      </c>
      <c r="G169" s="139">
        <v>45945</v>
      </c>
      <c r="H169" s="139">
        <v>45976</v>
      </c>
      <c r="I169" s="139">
        <v>45982</v>
      </c>
      <c r="J169" s="138" t="s">
        <v>432</v>
      </c>
      <c r="K169" s="138" t="s">
        <v>485</v>
      </c>
      <c r="L169" s="138"/>
      <c r="M169" s="140" t="s">
        <v>2156</v>
      </c>
    </row>
    <row r="170" spans="1:13" hidden="1" x14ac:dyDescent="0.25">
      <c r="A170" s="1" t="s">
        <v>375</v>
      </c>
      <c r="B170" s="1" t="s">
        <v>535</v>
      </c>
      <c r="C170" s="1" t="s">
        <v>1340</v>
      </c>
      <c r="D170" s="1" t="s">
        <v>95</v>
      </c>
      <c r="E170" s="1" t="s">
        <v>1341</v>
      </c>
      <c r="F170" s="1" t="s">
        <v>97</v>
      </c>
      <c r="G170" s="134">
        <v>45946</v>
      </c>
      <c r="H170" s="134">
        <v>45946</v>
      </c>
      <c r="I170" s="134">
        <v>45992</v>
      </c>
      <c r="J170" s="1" t="s">
        <v>572</v>
      </c>
      <c r="K170" s="1" t="s">
        <v>1223</v>
      </c>
      <c r="L170" s="1"/>
      <c r="M170" s="1"/>
    </row>
    <row r="171" spans="1:13" hidden="1" x14ac:dyDescent="0.25">
      <c r="A171" s="1" t="s">
        <v>375</v>
      </c>
      <c r="B171" s="1" t="s">
        <v>535</v>
      </c>
      <c r="C171" s="1" t="s">
        <v>1342</v>
      </c>
      <c r="D171" s="1" t="s">
        <v>95</v>
      </c>
      <c r="E171" s="1" t="s">
        <v>1343</v>
      </c>
      <c r="F171" s="1" t="s">
        <v>97</v>
      </c>
      <c r="G171" s="134">
        <v>45946</v>
      </c>
      <c r="H171" s="134">
        <v>45946</v>
      </c>
      <c r="I171" s="134">
        <v>45992</v>
      </c>
      <c r="J171" s="1" t="s">
        <v>572</v>
      </c>
      <c r="K171" s="1" t="s">
        <v>1223</v>
      </c>
      <c r="L171" s="1"/>
      <c r="M171" s="1"/>
    </row>
    <row r="172" spans="1:13" hidden="1" x14ac:dyDescent="0.25">
      <c r="A172" s="1" t="s">
        <v>375</v>
      </c>
      <c r="B172" s="1" t="s">
        <v>535</v>
      </c>
      <c r="C172" s="1" t="s">
        <v>1344</v>
      </c>
      <c r="D172" s="1" t="s">
        <v>95</v>
      </c>
      <c r="E172" s="1" t="s">
        <v>1345</v>
      </c>
      <c r="F172" s="1" t="s">
        <v>97</v>
      </c>
      <c r="G172" s="134">
        <v>45946</v>
      </c>
      <c r="H172" s="134">
        <v>45946</v>
      </c>
      <c r="I172" s="134">
        <v>45992</v>
      </c>
      <c r="J172" s="1" t="s">
        <v>572</v>
      </c>
      <c r="K172" s="1" t="s">
        <v>1223</v>
      </c>
      <c r="L172" s="1"/>
      <c r="M172" s="1"/>
    </row>
    <row r="173" spans="1:13" hidden="1" x14ac:dyDescent="0.25">
      <c r="A173" s="1" t="s">
        <v>375</v>
      </c>
      <c r="B173" s="1" t="s">
        <v>535</v>
      </c>
      <c r="C173" s="1" t="s">
        <v>1346</v>
      </c>
      <c r="D173" s="1" t="s">
        <v>95</v>
      </c>
      <c r="E173" s="1" t="s">
        <v>1347</v>
      </c>
      <c r="F173" s="1" t="s">
        <v>97</v>
      </c>
      <c r="G173" s="134">
        <v>45946</v>
      </c>
      <c r="H173" s="134">
        <v>45946</v>
      </c>
      <c r="I173" s="134">
        <v>45992</v>
      </c>
      <c r="J173" s="1" t="s">
        <v>572</v>
      </c>
      <c r="K173" s="1" t="s">
        <v>1223</v>
      </c>
      <c r="L173" s="1"/>
      <c r="M173" s="1"/>
    </row>
    <row r="174" spans="1:13" hidden="1" x14ac:dyDescent="0.25">
      <c r="A174" s="1" t="s">
        <v>375</v>
      </c>
      <c r="B174" s="1" t="s">
        <v>535</v>
      </c>
      <c r="C174" s="1" t="s">
        <v>1348</v>
      </c>
      <c r="D174" s="1" t="s">
        <v>95</v>
      </c>
      <c r="E174" s="1" t="s">
        <v>1349</v>
      </c>
      <c r="F174" s="1" t="s">
        <v>97</v>
      </c>
      <c r="G174" s="134">
        <v>45946</v>
      </c>
      <c r="H174" s="134">
        <v>45946</v>
      </c>
      <c r="I174" s="134">
        <v>45992</v>
      </c>
      <c r="J174" s="1" t="s">
        <v>572</v>
      </c>
      <c r="K174" s="1" t="s">
        <v>1223</v>
      </c>
      <c r="L174" s="1"/>
      <c r="M174" s="1"/>
    </row>
    <row r="175" spans="1:13" hidden="1" x14ac:dyDescent="0.25">
      <c r="A175" s="1" t="s">
        <v>375</v>
      </c>
      <c r="B175" s="1" t="s">
        <v>535</v>
      </c>
      <c r="C175" s="1" t="s">
        <v>1350</v>
      </c>
      <c r="D175" s="1" t="s">
        <v>95</v>
      </c>
      <c r="E175" s="1" t="s">
        <v>1351</v>
      </c>
      <c r="F175" s="1" t="s">
        <v>97</v>
      </c>
      <c r="G175" s="134">
        <v>45946</v>
      </c>
      <c r="H175" s="134">
        <v>45946</v>
      </c>
      <c r="I175" s="134">
        <v>45992</v>
      </c>
      <c r="J175" s="1" t="s">
        <v>572</v>
      </c>
      <c r="K175" s="1" t="s">
        <v>1223</v>
      </c>
      <c r="L175" s="1"/>
      <c r="M175" s="1"/>
    </row>
    <row r="176" spans="1:13" hidden="1" x14ac:dyDescent="0.25">
      <c r="A176" s="1" t="s">
        <v>375</v>
      </c>
      <c r="B176" s="1" t="s">
        <v>535</v>
      </c>
      <c r="C176" s="1" t="s">
        <v>1352</v>
      </c>
      <c r="D176" s="1" t="s">
        <v>95</v>
      </c>
      <c r="E176" s="1" t="s">
        <v>1353</v>
      </c>
      <c r="F176" s="1" t="s">
        <v>97</v>
      </c>
      <c r="G176" s="134">
        <v>45946</v>
      </c>
      <c r="H176" s="134">
        <v>45946</v>
      </c>
      <c r="I176" s="134">
        <v>45992</v>
      </c>
      <c r="J176" s="1" t="s">
        <v>572</v>
      </c>
      <c r="K176" s="1" t="s">
        <v>1223</v>
      </c>
      <c r="L176" s="1"/>
      <c r="M176" s="1"/>
    </row>
    <row r="177" spans="1:13" hidden="1" x14ac:dyDescent="0.25">
      <c r="A177" s="1" t="s">
        <v>375</v>
      </c>
      <c r="B177" s="1" t="s">
        <v>535</v>
      </c>
      <c r="C177" s="1" t="s">
        <v>1354</v>
      </c>
      <c r="D177" s="1" t="s">
        <v>95</v>
      </c>
      <c r="E177" s="1" t="s">
        <v>1355</v>
      </c>
      <c r="F177" s="1" t="s">
        <v>97</v>
      </c>
      <c r="G177" s="134">
        <v>45946</v>
      </c>
      <c r="H177" s="134">
        <v>45946</v>
      </c>
      <c r="I177" s="134">
        <v>45992</v>
      </c>
      <c r="J177" s="1" t="s">
        <v>572</v>
      </c>
      <c r="K177" s="1" t="s">
        <v>1223</v>
      </c>
      <c r="L177" s="1"/>
      <c r="M177" s="1"/>
    </row>
    <row r="178" spans="1:13" hidden="1" x14ac:dyDescent="0.25">
      <c r="A178" s="1" t="s">
        <v>375</v>
      </c>
      <c r="B178" s="1" t="s">
        <v>535</v>
      </c>
      <c r="C178" s="1" t="s">
        <v>1356</v>
      </c>
      <c r="D178" s="1" t="s">
        <v>95</v>
      </c>
      <c r="E178" s="1" t="s">
        <v>1357</v>
      </c>
      <c r="F178" s="1" t="s">
        <v>97</v>
      </c>
      <c r="G178" s="134">
        <v>45946</v>
      </c>
      <c r="H178" s="134">
        <v>45946</v>
      </c>
      <c r="I178" s="134">
        <v>45992</v>
      </c>
      <c r="J178" s="1" t="s">
        <v>572</v>
      </c>
      <c r="K178" s="1" t="s">
        <v>1223</v>
      </c>
      <c r="L178" s="1"/>
      <c r="M178" s="1"/>
    </row>
    <row r="179" spans="1:13" hidden="1" x14ac:dyDescent="0.25">
      <c r="A179" s="1" t="s">
        <v>375</v>
      </c>
      <c r="B179" s="1" t="s">
        <v>535</v>
      </c>
      <c r="C179" s="1" t="s">
        <v>1358</v>
      </c>
      <c r="D179" s="1" t="s">
        <v>95</v>
      </c>
      <c r="E179" s="1" t="s">
        <v>1359</v>
      </c>
      <c r="F179" s="1" t="s">
        <v>97</v>
      </c>
      <c r="G179" s="134">
        <v>45946</v>
      </c>
      <c r="H179" s="134">
        <v>45946</v>
      </c>
      <c r="I179" s="134">
        <v>45992</v>
      </c>
      <c r="J179" s="1" t="s">
        <v>572</v>
      </c>
      <c r="K179" s="1" t="s">
        <v>1223</v>
      </c>
      <c r="L179" s="1"/>
      <c r="M179" s="1"/>
    </row>
    <row r="180" spans="1:13" hidden="1" x14ac:dyDescent="0.25">
      <c r="A180" s="1" t="s">
        <v>375</v>
      </c>
      <c r="B180" s="1" t="s">
        <v>535</v>
      </c>
      <c r="C180" s="1" t="s">
        <v>1360</v>
      </c>
      <c r="D180" s="1" t="s">
        <v>95</v>
      </c>
      <c r="E180" s="1" t="s">
        <v>1361</v>
      </c>
      <c r="F180" s="1" t="s">
        <v>97</v>
      </c>
      <c r="G180" s="134">
        <v>45946</v>
      </c>
      <c r="H180" s="134">
        <v>45946</v>
      </c>
      <c r="I180" s="134">
        <v>45992</v>
      </c>
      <c r="J180" s="1" t="s">
        <v>572</v>
      </c>
      <c r="K180" s="1" t="s">
        <v>1223</v>
      </c>
      <c r="L180" s="1"/>
      <c r="M180" s="1"/>
    </row>
    <row r="181" spans="1:13" hidden="1" x14ac:dyDescent="0.25">
      <c r="A181" s="1" t="s">
        <v>375</v>
      </c>
      <c r="B181" s="1" t="s">
        <v>535</v>
      </c>
      <c r="C181" s="1" t="s">
        <v>1362</v>
      </c>
      <c r="D181" s="1" t="s">
        <v>95</v>
      </c>
      <c r="E181" s="1" t="s">
        <v>1363</v>
      </c>
      <c r="F181" s="1" t="s">
        <v>97</v>
      </c>
      <c r="G181" s="134">
        <v>45946</v>
      </c>
      <c r="H181" s="134">
        <v>45946</v>
      </c>
      <c r="I181" s="134">
        <v>45992</v>
      </c>
      <c r="J181" s="1" t="s">
        <v>572</v>
      </c>
      <c r="K181" s="1" t="s">
        <v>1223</v>
      </c>
      <c r="L181" s="1"/>
      <c r="M181" s="1"/>
    </row>
    <row r="182" spans="1:13" hidden="1" x14ac:dyDescent="0.25">
      <c r="A182" s="1" t="s">
        <v>375</v>
      </c>
      <c r="B182" s="1" t="s">
        <v>535</v>
      </c>
      <c r="C182" s="1" t="s">
        <v>1364</v>
      </c>
      <c r="D182" s="1" t="s">
        <v>95</v>
      </c>
      <c r="E182" s="1" t="s">
        <v>1365</v>
      </c>
      <c r="F182" s="1" t="s">
        <v>97</v>
      </c>
      <c r="G182" s="134">
        <v>45946</v>
      </c>
      <c r="H182" s="134">
        <v>45946</v>
      </c>
      <c r="I182" s="134">
        <v>45992</v>
      </c>
      <c r="J182" s="1" t="s">
        <v>572</v>
      </c>
      <c r="K182" s="1" t="s">
        <v>1223</v>
      </c>
      <c r="L182" s="1"/>
      <c r="M182" s="1"/>
    </row>
    <row r="183" spans="1:13" hidden="1" x14ac:dyDescent="0.25">
      <c r="A183" s="1" t="s">
        <v>375</v>
      </c>
      <c r="B183" s="1" t="s">
        <v>535</v>
      </c>
      <c r="C183" s="1" t="s">
        <v>1366</v>
      </c>
      <c r="D183" s="1" t="s">
        <v>95</v>
      </c>
      <c r="E183" s="1" t="s">
        <v>1367</v>
      </c>
      <c r="F183" s="1" t="s">
        <v>97</v>
      </c>
      <c r="G183" s="134">
        <v>45946</v>
      </c>
      <c r="H183" s="134">
        <v>45946</v>
      </c>
      <c r="I183" s="134">
        <v>45992</v>
      </c>
      <c r="J183" s="1" t="s">
        <v>572</v>
      </c>
      <c r="K183" s="1" t="s">
        <v>1223</v>
      </c>
      <c r="L183" s="1"/>
      <c r="M183" s="1"/>
    </row>
    <row r="184" spans="1:13" ht="39.6" x14ac:dyDescent="0.25">
      <c r="A184" s="146" t="s">
        <v>384</v>
      </c>
      <c r="B184" s="146"/>
      <c r="C184" s="146" t="s">
        <v>1368</v>
      </c>
      <c r="D184" s="146" t="s">
        <v>658</v>
      </c>
      <c r="E184" s="146" t="s">
        <v>1369</v>
      </c>
      <c r="F184" s="146" t="s">
        <v>99</v>
      </c>
      <c r="G184" s="147">
        <v>45946</v>
      </c>
      <c r="H184" s="147">
        <v>45968</v>
      </c>
      <c r="I184" s="147">
        <v>45994</v>
      </c>
      <c r="J184" s="146" t="s">
        <v>520</v>
      </c>
      <c r="K184" s="146" t="s">
        <v>888</v>
      </c>
      <c r="L184" s="146"/>
      <c r="M184" s="148" t="s">
        <v>828</v>
      </c>
    </row>
    <row r="185" spans="1:13" hidden="1" x14ac:dyDescent="0.25">
      <c r="A185" s="1" t="s">
        <v>375</v>
      </c>
      <c r="B185" s="1" t="s">
        <v>535</v>
      </c>
      <c r="C185" s="1" t="s">
        <v>1370</v>
      </c>
      <c r="D185" s="1" t="s">
        <v>95</v>
      </c>
      <c r="E185" s="1" t="s">
        <v>1371</v>
      </c>
      <c r="F185" s="1" t="s">
        <v>97</v>
      </c>
      <c r="G185" s="134">
        <v>45947</v>
      </c>
      <c r="H185" s="134">
        <v>45946</v>
      </c>
      <c r="I185" s="134">
        <v>45992</v>
      </c>
      <c r="J185" s="1" t="s">
        <v>540</v>
      </c>
      <c r="K185" s="1" t="s">
        <v>893</v>
      </c>
      <c r="L185" s="1"/>
      <c r="M185" s="1"/>
    </row>
    <row r="186" spans="1:13" hidden="1" x14ac:dyDescent="0.25">
      <c r="A186" s="1" t="s">
        <v>375</v>
      </c>
      <c r="B186" s="1" t="s">
        <v>535</v>
      </c>
      <c r="C186" s="1" t="s">
        <v>1372</v>
      </c>
      <c r="D186" s="1" t="s">
        <v>95</v>
      </c>
      <c r="E186" s="1" t="s">
        <v>1373</v>
      </c>
      <c r="F186" s="1" t="s">
        <v>97</v>
      </c>
      <c r="G186" s="134">
        <v>45947</v>
      </c>
      <c r="H186" s="134">
        <v>45946</v>
      </c>
      <c r="I186" s="134">
        <v>45992</v>
      </c>
      <c r="J186" s="1" t="s">
        <v>540</v>
      </c>
      <c r="K186" s="1" t="s">
        <v>893</v>
      </c>
      <c r="L186" s="1"/>
      <c r="M186" s="1"/>
    </row>
    <row r="187" spans="1:13" hidden="1" x14ac:dyDescent="0.25">
      <c r="A187" s="1" t="s">
        <v>375</v>
      </c>
      <c r="B187" s="1" t="s">
        <v>535</v>
      </c>
      <c r="C187" s="1" t="s">
        <v>1374</v>
      </c>
      <c r="D187" s="1" t="s">
        <v>95</v>
      </c>
      <c r="E187" s="1" t="s">
        <v>1375</v>
      </c>
      <c r="F187" s="1" t="s">
        <v>97</v>
      </c>
      <c r="G187" s="134">
        <v>45947</v>
      </c>
      <c r="H187" s="134">
        <v>45946</v>
      </c>
      <c r="I187" s="134">
        <v>45992</v>
      </c>
      <c r="J187" s="1" t="s">
        <v>540</v>
      </c>
      <c r="K187" s="1" t="s">
        <v>893</v>
      </c>
      <c r="L187" s="1"/>
      <c r="M187" s="1"/>
    </row>
    <row r="188" spans="1:13" hidden="1" x14ac:dyDescent="0.25">
      <c r="A188" s="1" t="s">
        <v>375</v>
      </c>
      <c r="B188" s="1" t="s">
        <v>535</v>
      </c>
      <c r="C188" s="1" t="s">
        <v>1376</v>
      </c>
      <c r="D188" s="1" t="s">
        <v>95</v>
      </c>
      <c r="E188" s="1" t="s">
        <v>1377</v>
      </c>
      <c r="F188" s="1" t="s">
        <v>97</v>
      </c>
      <c r="G188" s="134">
        <v>45947</v>
      </c>
      <c r="H188" s="134">
        <v>45946</v>
      </c>
      <c r="I188" s="134">
        <v>45992</v>
      </c>
      <c r="J188" s="1" t="s">
        <v>540</v>
      </c>
      <c r="K188" s="1" t="s">
        <v>893</v>
      </c>
      <c r="L188" s="1"/>
      <c r="M188" s="1"/>
    </row>
    <row r="189" spans="1:13" hidden="1" x14ac:dyDescent="0.25">
      <c r="A189" s="1" t="s">
        <v>375</v>
      </c>
      <c r="B189" s="1" t="s">
        <v>535</v>
      </c>
      <c r="C189" s="1" t="s">
        <v>1378</v>
      </c>
      <c r="D189" s="1" t="s">
        <v>95</v>
      </c>
      <c r="E189" s="1" t="s">
        <v>1379</v>
      </c>
      <c r="F189" s="1" t="s">
        <v>97</v>
      </c>
      <c r="G189" s="134">
        <v>45947</v>
      </c>
      <c r="H189" s="134">
        <v>45946</v>
      </c>
      <c r="I189" s="134">
        <v>45992</v>
      </c>
      <c r="J189" s="1" t="s">
        <v>540</v>
      </c>
      <c r="K189" s="1" t="s">
        <v>893</v>
      </c>
      <c r="L189" s="1"/>
      <c r="M189" s="1"/>
    </row>
    <row r="190" spans="1:13" hidden="1" x14ac:dyDescent="0.25">
      <c r="A190" s="1" t="s">
        <v>375</v>
      </c>
      <c r="B190" s="1" t="s">
        <v>535</v>
      </c>
      <c r="C190" s="1" t="s">
        <v>1380</v>
      </c>
      <c r="D190" s="1" t="s">
        <v>95</v>
      </c>
      <c r="E190" s="1" t="s">
        <v>1381</v>
      </c>
      <c r="F190" s="1" t="s">
        <v>97</v>
      </c>
      <c r="G190" s="134">
        <v>45947</v>
      </c>
      <c r="H190" s="134">
        <v>45946</v>
      </c>
      <c r="I190" s="134">
        <v>45992</v>
      </c>
      <c r="J190" s="1" t="s">
        <v>540</v>
      </c>
      <c r="K190" s="1" t="s">
        <v>893</v>
      </c>
      <c r="L190" s="1"/>
      <c r="M190" s="1"/>
    </row>
    <row r="191" spans="1:13" hidden="1" x14ac:dyDescent="0.25">
      <c r="A191" s="1" t="s">
        <v>375</v>
      </c>
      <c r="B191" s="1" t="s">
        <v>535</v>
      </c>
      <c r="C191" s="1" t="s">
        <v>1382</v>
      </c>
      <c r="D191" s="1" t="s">
        <v>95</v>
      </c>
      <c r="E191" s="1" t="s">
        <v>1383</v>
      </c>
      <c r="F191" s="1" t="s">
        <v>97</v>
      </c>
      <c r="G191" s="134">
        <v>45947</v>
      </c>
      <c r="H191" s="134">
        <v>45946</v>
      </c>
      <c r="I191" s="134">
        <v>45992</v>
      </c>
      <c r="J191" s="1" t="s">
        <v>540</v>
      </c>
      <c r="K191" s="1" t="s">
        <v>893</v>
      </c>
      <c r="L191" s="1"/>
      <c r="M191" s="1"/>
    </row>
    <row r="192" spans="1:13" hidden="1" x14ac:dyDescent="0.25">
      <c r="A192" s="1" t="s">
        <v>375</v>
      </c>
      <c r="B192" s="1" t="s">
        <v>535</v>
      </c>
      <c r="C192" s="1" t="s">
        <v>1384</v>
      </c>
      <c r="D192" s="1" t="s">
        <v>95</v>
      </c>
      <c r="E192" s="1" t="s">
        <v>1385</v>
      </c>
      <c r="F192" s="1" t="s">
        <v>97</v>
      </c>
      <c r="G192" s="134">
        <v>45947</v>
      </c>
      <c r="H192" s="134">
        <v>45946</v>
      </c>
      <c r="I192" s="134">
        <v>45992</v>
      </c>
      <c r="J192" s="1" t="s">
        <v>540</v>
      </c>
      <c r="K192" s="1" t="s">
        <v>893</v>
      </c>
      <c r="L192" s="1"/>
      <c r="M192" s="1"/>
    </row>
    <row r="193" spans="1:13" hidden="1" x14ac:dyDescent="0.25">
      <c r="A193" s="1" t="s">
        <v>375</v>
      </c>
      <c r="B193" s="1" t="s">
        <v>535</v>
      </c>
      <c r="C193" s="1" t="s">
        <v>1386</v>
      </c>
      <c r="D193" s="1" t="s">
        <v>95</v>
      </c>
      <c r="E193" s="1" t="s">
        <v>1387</v>
      </c>
      <c r="F193" s="1" t="s">
        <v>97</v>
      </c>
      <c r="G193" s="134">
        <v>45947</v>
      </c>
      <c r="H193" s="134">
        <v>45946</v>
      </c>
      <c r="I193" s="134">
        <v>45992</v>
      </c>
      <c r="J193" s="1" t="s">
        <v>540</v>
      </c>
      <c r="K193" s="1" t="s">
        <v>893</v>
      </c>
      <c r="L193" s="1"/>
      <c r="M193" s="1"/>
    </row>
    <row r="194" spans="1:13" hidden="1" x14ac:dyDescent="0.25">
      <c r="A194" s="1" t="s">
        <v>375</v>
      </c>
      <c r="B194" s="1" t="s">
        <v>535</v>
      </c>
      <c r="C194" s="1" t="s">
        <v>1388</v>
      </c>
      <c r="D194" s="1" t="s">
        <v>95</v>
      </c>
      <c r="E194" s="1" t="s">
        <v>1389</v>
      </c>
      <c r="F194" s="1" t="s">
        <v>97</v>
      </c>
      <c r="G194" s="134">
        <v>45947</v>
      </c>
      <c r="H194" s="134">
        <v>45946</v>
      </c>
      <c r="I194" s="134">
        <v>45992</v>
      </c>
      <c r="J194" s="1" t="s">
        <v>540</v>
      </c>
      <c r="K194" s="1" t="s">
        <v>893</v>
      </c>
      <c r="L194" s="1"/>
      <c r="M194" s="1"/>
    </row>
    <row r="195" spans="1:13" hidden="1" x14ac:dyDescent="0.25">
      <c r="A195" s="1" t="s">
        <v>375</v>
      </c>
      <c r="B195" s="1" t="s">
        <v>535</v>
      </c>
      <c r="C195" s="1" t="s">
        <v>1390</v>
      </c>
      <c r="D195" s="1" t="s">
        <v>95</v>
      </c>
      <c r="E195" s="1" t="s">
        <v>1391</v>
      </c>
      <c r="F195" s="1" t="s">
        <v>97</v>
      </c>
      <c r="G195" s="134">
        <v>45947</v>
      </c>
      <c r="H195" s="134">
        <v>45946</v>
      </c>
      <c r="I195" s="134">
        <v>45992</v>
      </c>
      <c r="J195" s="1" t="s">
        <v>540</v>
      </c>
      <c r="K195" s="1" t="s">
        <v>893</v>
      </c>
      <c r="L195" s="1"/>
      <c r="M195" s="1"/>
    </row>
    <row r="196" spans="1:13" hidden="1" x14ac:dyDescent="0.25">
      <c r="A196" s="1" t="s">
        <v>375</v>
      </c>
      <c r="B196" s="1" t="s">
        <v>535</v>
      </c>
      <c r="C196" s="1" t="s">
        <v>1392</v>
      </c>
      <c r="D196" s="1" t="s">
        <v>95</v>
      </c>
      <c r="E196" s="1" t="s">
        <v>1393</v>
      </c>
      <c r="F196" s="1" t="s">
        <v>97</v>
      </c>
      <c r="G196" s="134">
        <v>45947</v>
      </c>
      <c r="H196" s="134">
        <v>45946</v>
      </c>
      <c r="I196" s="134">
        <v>45992</v>
      </c>
      <c r="J196" s="1" t="s">
        <v>540</v>
      </c>
      <c r="K196" s="1" t="s">
        <v>893</v>
      </c>
      <c r="L196" s="1"/>
      <c r="M196" s="1"/>
    </row>
    <row r="197" spans="1:13" hidden="1" x14ac:dyDescent="0.25">
      <c r="A197" s="1" t="s">
        <v>375</v>
      </c>
      <c r="B197" s="1" t="s">
        <v>535</v>
      </c>
      <c r="C197" s="1" t="s">
        <v>1394</v>
      </c>
      <c r="D197" s="1" t="s">
        <v>95</v>
      </c>
      <c r="E197" s="1" t="s">
        <v>1395</v>
      </c>
      <c r="F197" s="1" t="s">
        <v>97</v>
      </c>
      <c r="G197" s="134">
        <v>45947</v>
      </c>
      <c r="H197" s="134">
        <v>45946</v>
      </c>
      <c r="I197" s="134">
        <v>45992</v>
      </c>
      <c r="J197" s="1" t="s">
        <v>540</v>
      </c>
      <c r="K197" s="1" t="s">
        <v>893</v>
      </c>
      <c r="L197" s="1"/>
      <c r="M197" s="1"/>
    </row>
    <row r="198" spans="1:13" hidden="1" x14ac:dyDescent="0.25">
      <c r="A198" s="1" t="s">
        <v>375</v>
      </c>
      <c r="B198" s="1" t="s">
        <v>535</v>
      </c>
      <c r="C198" s="1" t="s">
        <v>1396</v>
      </c>
      <c r="D198" s="1" t="s">
        <v>95</v>
      </c>
      <c r="E198" s="1" t="s">
        <v>1397</v>
      </c>
      <c r="F198" s="1" t="s">
        <v>97</v>
      </c>
      <c r="G198" s="134">
        <v>45947</v>
      </c>
      <c r="H198" s="134">
        <v>45946</v>
      </c>
      <c r="I198" s="134">
        <v>45992</v>
      </c>
      <c r="J198" s="1" t="s">
        <v>540</v>
      </c>
      <c r="K198" s="1" t="s">
        <v>893</v>
      </c>
      <c r="L198" s="1"/>
      <c r="M198" s="1"/>
    </row>
    <row r="199" spans="1:13" hidden="1" x14ac:dyDescent="0.25">
      <c r="A199" s="1" t="s">
        <v>375</v>
      </c>
      <c r="B199" s="1" t="s">
        <v>535</v>
      </c>
      <c r="C199" s="1" t="s">
        <v>1398</v>
      </c>
      <c r="D199" s="1" t="s">
        <v>95</v>
      </c>
      <c r="E199" s="1" t="s">
        <v>1399</v>
      </c>
      <c r="F199" s="1" t="s">
        <v>97</v>
      </c>
      <c r="G199" s="134">
        <v>45947</v>
      </c>
      <c r="H199" s="134">
        <v>45946</v>
      </c>
      <c r="I199" s="134">
        <v>45992</v>
      </c>
      <c r="J199" s="1" t="s">
        <v>540</v>
      </c>
      <c r="K199" s="1" t="s">
        <v>893</v>
      </c>
      <c r="L199" s="1"/>
      <c r="M199" s="1"/>
    </row>
    <row r="200" spans="1:13" hidden="1" x14ac:dyDescent="0.25">
      <c r="A200" s="1" t="s">
        <v>375</v>
      </c>
      <c r="B200" s="1" t="s">
        <v>535</v>
      </c>
      <c r="C200" s="1" t="s">
        <v>1400</v>
      </c>
      <c r="D200" s="1" t="s">
        <v>95</v>
      </c>
      <c r="E200" s="1" t="s">
        <v>1401</v>
      </c>
      <c r="F200" s="1" t="s">
        <v>97</v>
      </c>
      <c r="G200" s="134">
        <v>45947</v>
      </c>
      <c r="H200" s="134">
        <v>45946</v>
      </c>
      <c r="I200" s="134">
        <v>45992</v>
      </c>
      <c r="J200" s="1" t="s">
        <v>540</v>
      </c>
      <c r="K200" s="1" t="s">
        <v>893</v>
      </c>
      <c r="L200" s="1"/>
      <c r="M200" s="1"/>
    </row>
    <row r="201" spans="1:13" hidden="1" x14ac:dyDescent="0.25">
      <c r="A201" s="1" t="s">
        <v>375</v>
      </c>
      <c r="B201" s="1" t="s">
        <v>535</v>
      </c>
      <c r="C201" s="1" t="s">
        <v>1402</v>
      </c>
      <c r="D201" s="1" t="s">
        <v>95</v>
      </c>
      <c r="E201" s="1" t="s">
        <v>1403</v>
      </c>
      <c r="F201" s="1" t="s">
        <v>97</v>
      </c>
      <c r="G201" s="134">
        <v>45947</v>
      </c>
      <c r="H201" s="134">
        <v>45946</v>
      </c>
      <c r="I201" s="134">
        <v>45992</v>
      </c>
      <c r="J201" s="1" t="s">
        <v>540</v>
      </c>
      <c r="K201" s="1" t="s">
        <v>893</v>
      </c>
      <c r="L201" s="1"/>
      <c r="M201" s="1"/>
    </row>
    <row r="202" spans="1:13" hidden="1" x14ac:dyDescent="0.25">
      <c r="A202" s="1" t="s">
        <v>375</v>
      </c>
      <c r="B202" s="1" t="s">
        <v>535</v>
      </c>
      <c r="C202" s="1" t="s">
        <v>1404</v>
      </c>
      <c r="D202" s="1" t="s">
        <v>95</v>
      </c>
      <c r="E202" s="1" t="s">
        <v>1405</v>
      </c>
      <c r="F202" s="1" t="s">
        <v>97</v>
      </c>
      <c r="G202" s="134">
        <v>45947</v>
      </c>
      <c r="H202" s="134">
        <v>45946</v>
      </c>
      <c r="I202" s="134">
        <v>45992</v>
      </c>
      <c r="J202" s="1" t="s">
        <v>540</v>
      </c>
      <c r="K202" s="1" t="s">
        <v>893</v>
      </c>
      <c r="L202" s="1"/>
      <c r="M202" s="1"/>
    </row>
    <row r="203" spans="1:13" hidden="1" x14ac:dyDescent="0.25">
      <c r="A203" s="1" t="s">
        <v>375</v>
      </c>
      <c r="B203" s="1" t="s">
        <v>535</v>
      </c>
      <c r="C203" s="1" t="s">
        <v>1406</v>
      </c>
      <c r="D203" s="1" t="s">
        <v>95</v>
      </c>
      <c r="E203" s="1" t="s">
        <v>1407</v>
      </c>
      <c r="F203" s="1" t="s">
        <v>97</v>
      </c>
      <c r="G203" s="134">
        <v>45947</v>
      </c>
      <c r="H203" s="134">
        <v>45946</v>
      </c>
      <c r="I203" s="134">
        <v>45992</v>
      </c>
      <c r="J203" s="1" t="s">
        <v>540</v>
      </c>
      <c r="K203" s="1" t="s">
        <v>893</v>
      </c>
      <c r="L203" s="1"/>
      <c r="M203" s="1"/>
    </row>
    <row r="204" spans="1:13" hidden="1" x14ac:dyDescent="0.25">
      <c r="A204" s="1" t="s">
        <v>375</v>
      </c>
      <c r="B204" s="1" t="s">
        <v>535</v>
      </c>
      <c r="C204" s="1" t="s">
        <v>1408</v>
      </c>
      <c r="D204" s="1" t="s">
        <v>95</v>
      </c>
      <c r="E204" s="1" t="s">
        <v>1409</v>
      </c>
      <c r="F204" s="1" t="s">
        <v>97</v>
      </c>
      <c r="G204" s="134">
        <v>45947</v>
      </c>
      <c r="H204" s="134">
        <v>45946</v>
      </c>
      <c r="I204" s="134">
        <v>45992</v>
      </c>
      <c r="J204" s="1" t="s">
        <v>540</v>
      </c>
      <c r="K204" s="1" t="s">
        <v>893</v>
      </c>
      <c r="L204" s="1"/>
      <c r="M204" s="1"/>
    </row>
    <row r="205" spans="1:13" hidden="1" x14ac:dyDescent="0.25">
      <c r="A205" s="1" t="s">
        <v>375</v>
      </c>
      <c r="B205" s="1" t="s">
        <v>535</v>
      </c>
      <c r="C205" s="1" t="s">
        <v>1410</v>
      </c>
      <c r="D205" s="1" t="s">
        <v>95</v>
      </c>
      <c r="E205" s="1" t="s">
        <v>1411</v>
      </c>
      <c r="F205" s="1" t="s">
        <v>97</v>
      </c>
      <c r="G205" s="134">
        <v>45949</v>
      </c>
      <c r="H205" s="134">
        <v>45949</v>
      </c>
      <c r="I205" s="134">
        <v>45992</v>
      </c>
      <c r="J205" s="1" t="s">
        <v>487</v>
      </c>
      <c r="K205" s="1" t="s">
        <v>898</v>
      </c>
      <c r="L205" s="1"/>
      <c r="M205" s="1"/>
    </row>
    <row r="206" spans="1:13" hidden="1" x14ac:dyDescent="0.25">
      <c r="A206" s="1" t="s">
        <v>375</v>
      </c>
      <c r="B206" s="1" t="s">
        <v>535</v>
      </c>
      <c r="C206" s="1" t="s">
        <v>1412</v>
      </c>
      <c r="D206" s="1" t="s">
        <v>95</v>
      </c>
      <c r="E206" s="1" t="s">
        <v>1413</v>
      </c>
      <c r="F206" s="1" t="s">
        <v>97</v>
      </c>
      <c r="G206" s="134">
        <v>45949</v>
      </c>
      <c r="H206" s="134">
        <v>45942</v>
      </c>
      <c r="I206" s="134">
        <v>45992</v>
      </c>
      <c r="J206" s="1" t="s">
        <v>487</v>
      </c>
      <c r="K206" s="1" t="s">
        <v>898</v>
      </c>
      <c r="L206" s="1"/>
      <c r="M206" s="1"/>
    </row>
    <row r="207" spans="1:13" hidden="1" x14ac:dyDescent="0.25">
      <c r="A207" s="1" t="s">
        <v>51</v>
      </c>
      <c r="B207" s="1" t="s">
        <v>82</v>
      </c>
      <c r="C207" s="1" t="s">
        <v>1415</v>
      </c>
      <c r="D207" s="1" t="s">
        <v>658</v>
      </c>
      <c r="E207" s="1" t="s">
        <v>1416</v>
      </c>
      <c r="F207" s="1" t="s">
        <v>96</v>
      </c>
      <c r="G207" s="134">
        <v>45951</v>
      </c>
      <c r="H207" s="134">
        <v>45961</v>
      </c>
      <c r="I207" s="134">
        <v>46010</v>
      </c>
      <c r="J207" s="1" t="s">
        <v>990</v>
      </c>
      <c r="K207" s="1" t="s">
        <v>371</v>
      </c>
      <c r="L207" s="1"/>
      <c r="M207" s="1"/>
    </row>
    <row r="208" spans="1:13" hidden="1" x14ac:dyDescent="0.25">
      <c r="A208" s="1" t="s">
        <v>375</v>
      </c>
      <c r="B208" s="1" t="s">
        <v>535</v>
      </c>
      <c r="C208" s="1" t="s">
        <v>1419</v>
      </c>
      <c r="D208" s="1" t="s">
        <v>658</v>
      </c>
      <c r="E208" s="1" t="s">
        <v>1420</v>
      </c>
      <c r="F208" s="1" t="s">
        <v>96</v>
      </c>
      <c r="G208" s="134">
        <v>45957</v>
      </c>
      <c r="H208" s="134">
        <v>45961</v>
      </c>
      <c r="I208" s="134">
        <v>45971</v>
      </c>
      <c r="J208" s="1" t="s">
        <v>445</v>
      </c>
      <c r="K208" s="1" t="s">
        <v>631</v>
      </c>
      <c r="L208" s="1"/>
      <c r="M208" s="1"/>
    </row>
    <row r="209" spans="1:13" hidden="1" x14ac:dyDescent="0.25">
      <c r="A209" s="1" t="s">
        <v>375</v>
      </c>
      <c r="B209" s="1" t="s">
        <v>535</v>
      </c>
      <c r="C209" s="1" t="s">
        <v>1421</v>
      </c>
      <c r="D209" s="1" t="s">
        <v>95</v>
      </c>
      <c r="E209" s="1" t="s">
        <v>1422</v>
      </c>
      <c r="F209" s="1" t="s">
        <v>97</v>
      </c>
      <c r="G209" s="134">
        <v>45957</v>
      </c>
      <c r="H209" s="134">
        <v>45961</v>
      </c>
      <c r="I209" s="134">
        <v>45990</v>
      </c>
      <c r="J209" s="1" t="s">
        <v>445</v>
      </c>
      <c r="K209" s="1" t="s">
        <v>631</v>
      </c>
      <c r="L209" s="1"/>
      <c r="M209" s="1"/>
    </row>
    <row r="210" spans="1:13" hidden="1" x14ac:dyDescent="0.25">
      <c r="A210" s="1" t="s">
        <v>375</v>
      </c>
      <c r="B210" s="1" t="s">
        <v>535</v>
      </c>
      <c r="C210" s="1" t="s">
        <v>1607</v>
      </c>
      <c r="D210" s="1" t="s">
        <v>95</v>
      </c>
      <c r="E210" s="1" t="s">
        <v>1608</v>
      </c>
      <c r="F210" s="1" t="s">
        <v>97</v>
      </c>
      <c r="G210" s="134">
        <v>45959</v>
      </c>
      <c r="H210" s="134">
        <v>45961</v>
      </c>
      <c r="I210" s="134">
        <v>45989</v>
      </c>
      <c r="J210" s="1" t="s">
        <v>540</v>
      </c>
      <c r="K210" s="1" t="s">
        <v>893</v>
      </c>
      <c r="L210" s="1"/>
      <c r="M210" s="1"/>
    </row>
    <row r="211" spans="1:13" hidden="1" x14ac:dyDescent="0.25">
      <c r="A211" s="1" t="s">
        <v>375</v>
      </c>
      <c r="B211" s="1" t="s">
        <v>535</v>
      </c>
      <c r="C211" s="1" t="s">
        <v>1609</v>
      </c>
      <c r="D211" s="1" t="s">
        <v>95</v>
      </c>
      <c r="E211" s="1" t="s">
        <v>1610</v>
      </c>
      <c r="F211" s="1" t="s">
        <v>97</v>
      </c>
      <c r="G211" s="134">
        <v>45959</v>
      </c>
      <c r="H211" s="134">
        <v>45961</v>
      </c>
      <c r="I211" s="134">
        <v>45989</v>
      </c>
      <c r="J211" s="1" t="s">
        <v>540</v>
      </c>
      <c r="K211" s="1" t="s">
        <v>893</v>
      </c>
      <c r="L211" s="1"/>
      <c r="M211" s="1"/>
    </row>
    <row r="212" spans="1:13" hidden="1" x14ac:dyDescent="0.25">
      <c r="A212" s="1" t="s">
        <v>375</v>
      </c>
      <c r="B212" s="1" t="s">
        <v>535</v>
      </c>
      <c r="C212" s="1" t="s">
        <v>1611</v>
      </c>
      <c r="D212" s="1" t="s">
        <v>95</v>
      </c>
      <c r="E212" s="1" t="s">
        <v>1612</v>
      </c>
      <c r="F212" s="1" t="s">
        <v>97</v>
      </c>
      <c r="G212" s="134">
        <v>45959</v>
      </c>
      <c r="H212" s="134">
        <v>45960</v>
      </c>
      <c r="I212" s="134">
        <v>45989</v>
      </c>
      <c r="J212" s="1" t="s">
        <v>540</v>
      </c>
      <c r="K212" s="1" t="s">
        <v>893</v>
      </c>
      <c r="L212" s="1"/>
      <c r="M212" s="1"/>
    </row>
    <row r="213" spans="1:13" hidden="1" x14ac:dyDescent="0.25">
      <c r="A213" s="1" t="s">
        <v>375</v>
      </c>
      <c r="B213" s="1" t="s">
        <v>535</v>
      </c>
      <c r="C213" s="1" t="s">
        <v>1613</v>
      </c>
      <c r="D213" s="1" t="s">
        <v>95</v>
      </c>
      <c r="E213" s="1" t="s">
        <v>1614</v>
      </c>
      <c r="F213" s="1" t="s">
        <v>97</v>
      </c>
      <c r="G213" s="134">
        <v>45959</v>
      </c>
      <c r="H213" s="134">
        <v>45960</v>
      </c>
      <c r="I213" s="134">
        <v>45989</v>
      </c>
      <c r="J213" s="1" t="s">
        <v>540</v>
      </c>
      <c r="K213" s="1" t="s">
        <v>893</v>
      </c>
      <c r="L213" s="1"/>
      <c r="M213" s="1"/>
    </row>
    <row r="214" spans="1:13" hidden="1" x14ac:dyDescent="0.25">
      <c r="A214" s="1" t="s">
        <v>375</v>
      </c>
      <c r="B214" s="1" t="s">
        <v>535</v>
      </c>
      <c r="C214" s="1" t="s">
        <v>1616</v>
      </c>
      <c r="D214" s="1" t="s">
        <v>95</v>
      </c>
      <c r="E214" s="1" t="s">
        <v>1617</v>
      </c>
      <c r="F214" s="1" t="s">
        <v>97</v>
      </c>
      <c r="G214" s="134">
        <v>45961</v>
      </c>
      <c r="H214" s="134">
        <v>45968</v>
      </c>
      <c r="I214" s="134">
        <v>46045</v>
      </c>
      <c r="J214" s="1" t="s">
        <v>572</v>
      </c>
      <c r="K214" s="1" t="s">
        <v>1223</v>
      </c>
      <c r="L214" s="1"/>
      <c r="M214" s="1"/>
    </row>
    <row r="215" spans="1:13" hidden="1" x14ac:dyDescent="0.25">
      <c r="A215" s="1" t="s">
        <v>375</v>
      </c>
      <c r="B215" s="1" t="s">
        <v>535</v>
      </c>
      <c r="C215" s="1" t="s">
        <v>1618</v>
      </c>
      <c r="D215" s="1" t="s">
        <v>95</v>
      </c>
      <c r="E215" s="1" t="s">
        <v>1619</v>
      </c>
      <c r="F215" s="1" t="s">
        <v>97</v>
      </c>
      <c r="G215" s="134">
        <v>45961</v>
      </c>
      <c r="H215" s="134">
        <v>45968</v>
      </c>
      <c r="I215" s="134">
        <v>46045</v>
      </c>
      <c r="J215" s="1" t="s">
        <v>572</v>
      </c>
      <c r="K215" s="1" t="s">
        <v>1223</v>
      </c>
      <c r="L215" s="1"/>
      <c r="M215" s="1"/>
    </row>
    <row r="216" spans="1:13" hidden="1" x14ac:dyDescent="0.25">
      <c r="A216" s="1" t="s">
        <v>375</v>
      </c>
      <c r="B216" s="1" t="s">
        <v>535</v>
      </c>
      <c r="C216" s="1" t="s">
        <v>1620</v>
      </c>
      <c r="D216" s="1" t="s">
        <v>95</v>
      </c>
      <c r="E216" s="1" t="s">
        <v>1621</v>
      </c>
      <c r="F216" s="1" t="s">
        <v>97</v>
      </c>
      <c r="G216" s="134">
        <v>45961</v>
      </c>
      <c r="H216" s="134">
        <v>45968</v>
      </c>
      <c r="I216" s="134">
        <v>46045</v>
      </c>
      <c r="J216" s="1" t="s">
        <v>572</v>
      </c>
      <c r="K216" s="1" t="s">
        <v>1223</v>
      </c>
      <c r="L216" s="1"/>
      <c r="M216" s="1"/>
    </row>
    <row r="217" spans="1:13" hidden="1" x14ac:dyDescent="0.25">
      <c r="A217" s="1" t="s">
        <v>375</v>
      </c>
      <c r="B217" s="1" t="s">
        <v>535</v>
      </c>
      <c r="C217" s="1" t="s">
        <v>1622</v>
      </c>
      <c r="D217" s="1" t="s">
        <v>95</v>
      </c>
      <c r="E217" s="1" t="s">
        <v>1623</v>
      </c>
      <c r="F217" s="1" t="s">
        <v>97</v>
      </c>
      <c r="G217" s="134">
        <v>45961</v>
      </c>
      <c r="H217" s="134">
        <v>45968</v>
      </c>
      <c r="I217" s="134">
        <v>46045</v>
      </c>
      <c r="J217" s="1" t="s">
        <v>572</v>
      </c>
      <c r="K217" s="1" t="s">
        <v>1223</v>
      </c>
      <c r="L217" s="1"/>
      <c r="M217" s="1"/>
    </row>
    <row r="218" spans="1:13" hidden="1" x14ac:dyDescent="0.25">
      <c r="A218" s="1" t="s">
        <v>375</v>
      </c>
      <c r="B218" s="1" t="s">
        <v>535</v>
      </c>
      <c r="C218" s="1" t="s">
        <v>1624</v>
      </c>
      <c r="D218" s="1" t="s">
        <v>95</v>
      </c>
      <c r="E218" s="1" t="s">
        <v>1625</v>
      </c>
      <c r="F218" s="1" t="s">
        <v>97</v>
      </c>
      <c r="G218" s="134">
        <v>45961</v>
      </c>
      <c r="H218" s="134">
        <v>45968</v>
      </c>
      <c r="I218" s="134">
        <v>46045</v>
      </c>
      <c r="J218" s="1" t="s">
        <v>572</v>
      </c>
      <c r="K218" s="1" t="s">
        <v>1223</v>
      </c>
      <c r="L218" s="1"/>
      <c r="M218" s="1"/>
    </row>
    <row r="219" spans="1:13" hidden="1" x14ac:dyDescent="0.25">
      <c r="A219" s="1" t="s">
        <v>375</v>
      </c>
      <c r="B219" s="1" t="s">
        <v>535</v>
      </c>
      <c r="C219" s="1" t="s">
        <v>1626</v>
      </c>
      <c r="D219" s="1" t="s">
        <v>95</v>
      </c>
      <c r="E219" s="1" t="s">
        <v>1627</v>
      </c>
      <c r="F219" s="1" t="s">
        <v>97</v>
      </c>
      <c r="G219" s="134">
        <v>45961</v>
      </c>
      <c r="H219" s="134">
        <v>45968</v>
      </c>
      <c r="I219" s="134">
        <v>46045</v>
      </c>
      <c r="J219" s="1" t="s">
        <v>572</v>
      </c>
      <c r="K219" s="1" t="s">
        <v>1223</v>
      </c>
      <c r="L219" s="1"/>
      <c r="M219" s="1"/>
    </row>
    <row r="220" spans="1:13" hidden="1" x14ac:dyDescent="0.25">
      <c r="A220" s="1" t="s">
        <v>384</v>
      </c>
      <c r="B220" s="1" t="s">
        <v>1602</v>
      </c>
      <c r="C220" s="1" t="s">
        <v>1779</v>
      </c>
      <c r="D220" s="1" t="s">
        <v>658</v>
      </c>
      <c r="E220" s="1" t="s">
        <v>1780</v>
      </c>
      <c r="F220" s="1" t="s">
        <v>96</v>
      </c>
      <c r="G220" s="134">
        <v>45964</v>
      </c>
      <c r="H220" s="134">
        <v>45968</v>
      </c>
      <c r="I220" s="134">
        <v>45982</v>
      </c>
      <c r="J220" s="1" t="s">
        <v>520</v>
      </c>
      <c r="K220" s="1" t="s">
        <v>888</v>
      </c>
      <c r="L220" s="1"/>
      <c r="M220" s="1"/>
    </row>
    <row r="221" spans="1:13" hidden="1" x14ac:dyDescent="0.25">
      <c r="A221" s="1" t="s">
        <v>380</v>
      </c>
      <c r="B221" s="1"/>
      <c r="C221" s="1" t="s">
        <v>1781</v>
      </c>
      <c r="D221" s="1" t="s">
        <v>658</v>
      </c>
      <c r="E221" s="1" t="s">
        <v>1782</v>
      </c>
      <c r="F221" s="1" t="s">
        <v>99</v>
      </c>
      <c r="G221" s="134">
        <v>45964</v>
      </c>
      <c r="H221" s="134">
        <v>45968</v>
      </c>
      <c r="I221" s="134">
        <v>45992</v>
      </c>
      <c r="J221" s="1" t="s">
        <v>887</v>
      </c>
      <c r="K221" s="1" t="s">
        <v>888</v>
      </c>
      <c r="L221" s="1"/>
      <c r="M221" s="1"/>
    </row>
    <row r="222" spans="1:13" hidden="1" x14ac:dyDescent="0.25">
      <c r="A222" s="1" t="s">
        <v>51</v>
      </c>
      <c r="B222" s="1" t="s">
        <v>82</v>
      </c>
      <c r="C222" s="1" t="s">
        <v>1783</v>
      </c>
      <c r="D222" s="1" t="s">
        <v>658</v>
      </c>
      <c r="E222" s="1" t="s">
        <v>1784</v>
      </c>
      <c r="F222" s="1" t="s">
        <v>98</v>
      </c>
      <c r="G222" s="134">
        <v>45965</v>
      </c>
      <c r="H222" s="1"/>
      <c r="I222" s="134">
        <v>46024</v>
      </c>
      <c r="J222" s="1" t="s">
        <v>432</v>
      </c>
      <c r="K222" s="1" t="s">
        <v>485</v>
      </c>
      <c r="L222" s="1"/>
      <c r="M222" s="1"/>
    </row>
    <row r="223" spans="1:13" hidden="1" x14ac:dyDescent="0.25">
      <c r="A223" s="1" t="s">
        <v>375</v>
      </c>
      <c r="B223" s="1" t="s">
        <v>535</v>
      </c>
      <c r="C223" s="1" t="s">
        <v>1785</v>
      </c>
      <c r="D223" s="1" t="s">
        <v>95</v>
      </c>
      <c r="E223" s="1" t="s">
        <v>1786</v>
      </c>
      <c r="F223" s="1" t="s">
        <v>97</v>
      </c>
      <c r="G223" s="134">
        <v>45965</v>
      </c>
      <c r="H223" s="134">
        <v>45966</v>
      </c>
      <c r="I223" s="134">
        <v>46045</v>
      </c>
      <c r="J223" s="1" t="s">
        <v>572</v>
      </c>
      <c r="K223" s="1" t="s">
        <v>1223</v>
      </c>
      <c r="L223" s="1"/>
      <c r="M223" s="1"/>
    </row>
    <row r="224" spans="1:13" hidden="1" x14ac:dyDescent="0.25">
      <c r="A224" s="1" t="s">
        <v>375</v>
      </c>
      <c r="B224" s="1" t="s">
        <v>535</v>
      </c>
      <c r="C224" s="1" t="s">
        <v>1787</v>
      </c>
      <c r="D224" s="1" t="s">
        <v>95</v>
      </c>
      <c r="E224" s="1" t="s">
        <v>1788</v>
      </c>
      <c r="F224" s="1" t="s">
        <v>97</v>
      </c>
      <c r="G224" s="134">
        <v>45965</v>
      </c>
      <c r="H224" s="134">
        <v>45966</v>
      </c>
      <c r="I224" s="134">
        <v>46045</v>
      </c>
      <c r="J224" s="1" t="s">
        <v>572</v>
      </c>
      <c r="K224" s="1" t="s">
        <v>1223</v>
      </c>
      <c r="L224" s="1"/>
      <c r="M224" s="1"/>
    </row>
    <row r="225" spans="1:13" hidden="1" x14ac:dyDescent="0.25">
      <c r="A225" s="1" t="s">
        <v>51</v>
      </c>
      <c r="B225" s="1"/>
      <c r="C225" s="1" t="s">
        <v>1789</v>
      </c>
      <c r="D225" s="1" t="s">
        <v>658</v>
      </c>
      <c r="E225" s="1" t="s">
        <v>1790</v>
      </c>
      <c r="F225" s="1" t="s">
        <v>98</v>
      </c>
      <c r="G225" s="134">
        <v>45965</v>
      </c>
      <c r="H225" s="1"/>
      <c r="I225" s="134">
        <v>46059</v>
      </c>
      <c r="J225" s="1" t="s">
        <v>457</v>
      </c>
      <c r="K225" s="1" t="s">
        <v>88</v>
      </c>
      <c r="L225" s="1"/>
      <c r="M225" s="1"/>
    </row>
    <row r="226" spans="1:13" hidden="1" x14ac:dyDescent="0.25">
      <c r="A226" s="1" t="s">
        <v>375</v>
      </c>
      <c r="B226" s="1" t="s">
        <v>535</v>
      </c>
      <c r="C226" s="1" t="s">
        <v>1791</v>
      </c>
      <c r="D226" s="1" t="s">
        <v>95</v>
      </c>
      <c r="E226" s="1" t="s">
        <v>1792</v>
      </c>
      <c r="F226" s="1" t="s">
        <v>97</v>
      </c>
      <c r="G226" s="134">
        <v>45965</v>
      </c>
      <c r="H226" s="134">
        <v>45966</v>
      </c>
      <c r="I226" s="134">
        <v>46045</v>
      </c>
      <c r="J226" s="1" t="s">
        <v>572</v>
      </c>
      <c r="K226" s="1" t="s">
        <v>1223</v>
      </c>
      <c r="L226" s="1"/>
      <c r="M226" s="1"/>
    </row>
    <row r="227" spans="1:13" hidden="1" x14ac:dyDescent="0.25">
      <c r="A227" s="1" t="s">
        <v>375</v>
      </c>
      <c r="B227" s="1" t="s">
        <v>535</v>
      </c>
      <c r="C227" s="1" t="s">
        <v>1793</v>
      </c>
      <c r="D227" s="1" t="s">
        <v>95</v>
      </c>
      <c r="E227" s="1" t="s">
        <v>1794</v>
      </c>
      <c r="F227" s="1" t="s">
        <v>97</v>
      </c>
      <c r="G227" s="134">
        <v>45965</v>
      </c>
      <c r="H227" s="134">
        <v>45966</v>
      </c>
      <c r="I227" s="134">
        <v>46045</v>
      </c>
      <c r="J227" s="1" t="s">
        <v>572</v>
      </c>
      <c r="K227" s="1" t="s">
        <v>1223</v>
      </c>
      <c r="L227" s="1"/>
      <c r="M227" s="1"/>
    </row>
    <row r="228" spans="1:13" hidden="1" x14ac:dyDescent="0.25">
      <c r="A228" s="1" t="s">
        <v>375</v>
      </c>
      <c r="B228" s="1" t="s">
        <v>535</v>
      </c>
      <c r="C228" s="1" t="s">
        <v>1795</v>
      </c>
      <c r="D228" s="1" t="s">
        <v>95</v>
      </c>
      <c r="E228" s="1" t="s">
        <v>1796</v>
      </c>
      <c r="F228" s="1" t="s">
        <v>97</v>
      </c>
      <c r="G228" s="134">
        <v>45965</v>
      </c>
      <c r="H228" s="134">
        <v>45966</v>
      </c>
      <c r="I228" s="134">
        <v>46045</v>
      </c>
      <c r="J228" s="1" t="s">
        <v>572</v>
      </c>
      <c r="K228" s="1" t="s">
        <v>1223</v>
      </c>
      <c r="L228" s="1"/>
      <c r="M228" s="1"/>
    </row>
    <row r="229" spans="1:13" hidden="1" x14ac:dyDescent="0.25">
      <c r="A229" s="1" t="s">
        <v>375</v>
      </c>
      <c r="B229" s="1" t="s">
        <v>535</v>
      </c>
      <c r="C229" s="1" t="s">
        <v>1797</v>
      </c>
      <c r="D229" s="1" t="s">
        <v>95</v>
      </c>
      <c r="E229" s="1" t="s">
        <v>1798</v>
      </c>
      <c r="F229" s="1" t="s">
        <v>97</v>
      </c>
      <c r="G229" s="134">
        <v>45965</v>
      </c>
      <c r="H229" s="134">
        <v>45966</v>
      </c>
      <c r="I229" s="134">
        <v>46045</v>
      </c>
      <c r="J229" s="1" t="s">
        <v>572</v>
      </c>
      <c r="K229" s="1" t="s">
        <v>1223</v>
      </c>
      <c r="L229" s="1"/>
      <c r="M229" s="1"/>
    </row>
    <row r="230" spans="1:13" hidden="1" x14ac:dyDescent="0.25">
      <c r="A230" s="1" t="s">
        <v>375</v>
      </c>
      <c r="B230" s="1" t="s">
        <v>535</v>
      </c>
      <c r="C230" s="1" t="s">
        <v>1799</v>
      </c>
      <c r="D230" s="1" t="s">
        <v>95</v>
      </c>
      <c r="E230" s="1" t="s">
        <v>1800</v>
      </c>
      <c r="F230" s="1" t="s">
        <v>97</v>
      </c>
      <c r="G230" s="134">
        <v>45965</v>
      </c>
      <c r="H230" s="134">
        <v>45966</v>
      </c>
      <c r="I230" s="134">
        <v>46045</v>
      </c>
      <c r="J230" s="1" t="s">
        <v>572</v>
      </c>
      <c r="K230" s="1" t="s">
        <v>1223</v>
      </c>
      <c r="L230" s="1"/>
      <c r="M230" s="1"/>
    </row>
    <row r="231" spans="1:13" hidden="1" x14ac:dyDescent="0.25">
      <c r="A231" s="1" t="s">
        <v>375</v>
      </c>
      <c r="B231" s="1" t="s">
        <v>535</v>
      </c>
      <c r="C231" s="1" t="s">
        <v>1801</v>
      </c>
      <c r="D231" s="1" t="s">
        <v>95</v>
      </c>
      <c r="E231" s="1" t="s">
        <v>1802</v>
      </c>
      <c r="F231" s="1" t="s">
        <v>97</v>
      </c>
      <c r="G231" s="134">
        <v>45965</v>
      </c>
      <c r="H231" s="134">
        <v>45966</v>
      </c>
      <c r="I231" s="134">
        <v>46045</v>
      </c>
      <c r="J231" s="1" t="s">
        <v>572</v>
      </c>
      <c r="K231" s="1" t="s">
        <v>1223</v>
      </c>
      <c r="L231" s="1"/>
      <c r="M231" s="1"/>
    </row>
    <row r="232" spans="1:13" hidden="1" x14ac:dyDescent="0.25">
      <c r="A232" s="1" t="s">
        <v>375</v>
      </c>
      <c r="B232" s="1" t="s">
        <v>381</v>
      </c>
      <c r="C232" s="1" t="s">
        <v>1803</v>
      </c>
      <c r="D232" s="1" t="s">
        <v>95</v>
      </c>
      <c r="E232" s="1" t="s">
        <v>1804</v>
      </c>
      <c r="F232" s="1" t="s">
        <v>97</v>
      </c>
      <c r="G232" s="134">
        <v>45965</v>
      </c>
      <c r="H232" s="134">
        <v>45968</v>
      </c>
      <c r="I232" s="134">
        <v>45992</v>
      </c>
      <c r="J232" s="1" t="s">
        <v>445</v>
      </c>
      <c r="K232" s="1" t="s">
        <v>631</v>
      </c>
      <c r="L232" s="1"/>
      <c r="M232" s="1"/>
    </row>
    <row r="233" spans="1:13" hidden="1" x14ac:dyDescent="0.25">
      <c r="A233" s="1" t="s">
        <v>375</v>
      </c>
      <c r="B233" s="1" t="s">
        <v>535</v>
      </c>
      <c r="C233" s="1" t="s">
        <v>1805</v>
      </c>
      <c r="D233" s="1" t="s">
        <v>95</v>
      </c>
      <c r="E233" s="1" t="s">
        <v>1806</v>
      </c>
      <c r="F233" s="1" t="s">
        <v>97</v>
      </c>
      <c r="G233" s="134">
        <v>45965</v>
      </c>
      <c r="H233" s="134">
        <v>45966</v>
      </c>
      <c r="I233" s="134">
        <v>46045</v>
      </c>
      <c r="J233" s="1" t="s">
        <v>572</v>
      </c>
      <c r="K233" s="1" t="s">
        <v>1223</v>
      </c>
      <c r="L233" s="1"/>
      <c r="M233" s="1"/>
    </row>
    <row r="234" spans="1:13" hidden="1" x14ac:dyDescent="0.25">
      <c r="A234" s="1" t="s">
        <v>375</v>
      </c>
      <c r="B234" s="1" t="s">
        <v>535</v>
      </c>
      <c r="C234" s="1" t="s">
        <v>1807</v>
      </c>
      <c r="D234" s="1" t="s">
        <v>95</v>
      </c>
      <c r="E234" s="1" t="s">
        <v>1808</v>
      </c>
      <c r="F234" s="1" t="s">
        <v>97</v>
      </c>
      <c r="G234" s="134">
        <v>45965</v>
      </c>
      <c r="H234" s="134">
        <v>45966</v>
      </c>
      <c r="I234" s="134">
        <v>46045</v>
      </c>
      <c r="J234" s="1" t="s">
        <v>572</v>
      </c>
      <c r="K234" s="1" t="s">
        <v>1223</v>
      </c>
      <c r="L234" s="1"/>
      <c r="M234" s="1"/>
    </row>
    <row r="235" spans="1:13" hidden="1" x14ac:dyDescent="0.25">
      <c r="A235" s="1" t="s">
        <v>375</v>
      </c>
      <c r="B235" s="1" t="s">
        <v>381</v>
      </c>
      <c r="C235" s="1" t="s">
        <v>1809</v>
      </c>
      <c r="D235" s="1" t="s">
        <v>95</v>
      </c>
      <c r="E235" s="1" t="s">
        <v>1810</v>
      </c>
      <c r="F235" s="1" t="s">
        <v>97</v>
      </c>
      <c r="G235" s="134">
        <v>45965</v>
      </c>
      <c r="H235" s="134">
        <v>45968</v>
      </c>
      <c r="I235" s="134">
        <v>45992</v>
      </c>
      <c r="J235" s="1" t="s">
        <v>445</v>
      </c>
      <c r="K235" s="1" t="s">
        <v>631</v>
      </c>
      <c r="L235" s="1"/>
      <c r="M235" s="1"/>
    </row>
    <row r="236" spans="1:13" hidden="1" x14ac:dyDescent="0.25">
      <c r="A236" s="1" t="s">
        <v>375</v>
      </c>
      <c r="B236" s="1" t="s">
        <v>381</v>
      </c>
      <c r="C236" s="1" t="s">
        <v>1811</v>
      </c>
      <c r="D236" s="1" t="s">
        <v>95</v>
      </c>
      <c r="E236" s="1" t="s">
        <v>1812</v>
      </c>
      <c r="F236" s="1" t="s">
        <v>97</v>
      </c>
      <c r="G236" s="134">
        <v>45965</v>
      </c>
      <c r="H236" s="134">
        <v>45968</v>
      </c>
      <c r="I236" s="134">
        <v>45992</v>
      </c>
      <c r="J236" s="1" t="s">
        <v>445</v>
      </c>
      <c r="K236" s="1" t="s">
        <v>631</v>
      </c>
      <c r="L236" s="1"/>
      <c r="M236" s="1"/>
    </row>
    <row r="237" spans="1:13" hidden="1" x14ac:dyDescent="0.25">
      <c r="A237" s="1" t="s">
        <v>375</v>
      </c>
      <c r="B237" s="1" t="s">
        <v>381</v>
      </c>
      <c r="C237" s="1" t="s">
        <v>1813</v>
      </c>
      <c r="D237" s="1" t="s">
        <v>95</v>
      </c>
      <c r="E237" s="1" t="s">
        <v>1814</v>
      </c>
      <c r="F237" s="1" t="s">
        <v>97</v>
      </c>
      <c r="G237" s="134">
        <v>45965</v>
      </c>
      <c r="H237" s="134">
        <v>45968</v>
      </c>
      <c r="I237" s="134">
        <v>45992</v>
      </c>
      <c r="J237" s="1" t="s">
        <v>445</v>
      </c>
      <c r="K237" s="1" t="s">
        <v>631</v>
      </c>
      <c r="L237" s="1"/>
      <c r="M237" s="1"/>
    </row>
    <row r="238" spans="1:13" hidden="1" x14ac:dyDescent="0.25">
      <c r="A238" s="1" t="s">
        <v>375</v>
      </c>
      <c r="B238" s="1" t="s">
        <v>535</v>
      </c>
      <c r="C238" s="1" t="s">
        <v>1815</v>
      </c>
      <c r="D238" s="1" t="s">
        <v>95</v>
      </c>
      <c r="E238" s="1" t="s">
        <v>1816</v>
      </c>
      <c r="F238" s="1" t="s">
        <v>97</v>
      </c>
      <c r="G238" s="134">
        <v>45965</v>
      </c>
      <c r="H238" s="134">
        <v>45966</v>
      </c>
      <c r="I238" s="134">
        <v>46045</v>
      </c>
      <c r="J238" s="1" t="s">
        <v>572</v>
      </c>
      <c r="K238" s="1" t="s">
        <v>1223</v>
      </c>
      <c r="L238" s="1"/>
      <c r="M238" s="1"/>
    </row>
    <row r="239" spans="1:13" hidden="1" x14ac:dyDescent="0.25">
      <c r="A239" s="1" t="s">
        <v>375</v>
      </c>
      <c r="B239" s="1" t="s">
        <v>535</v>
      </c>
      <c r="C239" s="1" t="s">
        <v>1817</v>
      </c>
      <c r="D239" s="1" t="s">
        <v>95</v>
      </c>
      <c r="E239" s="1" t="s">
        <v>1818</v>
      </c>
      <c r="F239" s="1" t="s">
        <v>97</v>
      </c>
      <c r="G239" s="134">
        <v>45965</v>
      </c>
      <c r="H239" s="134">
        <v>45966</v>
      </c>
      <c r="I239" s="134">
        <v>46045</v>
      </c>
      <c r="J239" s="1" t="s">
        <v>572</v>
      </c>
      <c r="K239" s="1" t="s">
        <v>1223</v>
      </c>
      <c r="L239" s="1"/>
      <c r="M239" s="1"/>
    </row>
    <row r="240" spans="1:13" hidden="1" x14ac:dyDescent="0.25">
      <c r="A240" s="1" t="s">
        <v>375</v>
      </c>
      <c r="B240" s="1" t="s">
        <v>381</v>
      </c>
      <c r="C240" s="1" t="s">
        <v>1819</v>
      </c>
      <c r="D240" s="1" t="s">
        <v>95</v>
      </c>
      <c r="E240" s="1" t="s">
        <v>1820</v>
      </c>
      <c r="F240" s="1" t="s">
        <v>97</v>
      </c>
      <c r="G240" s="134">
        <v>45965</v>
      </c>
      <c r="H240" s="134">
        <v>45968</v>
      </c>
      <c r="I240" s="134">
        <v>45992</v>
      </c>
      <c r="J240" s="1" t="s">
        <v>445</v>
      </c>
      <c r="K240" s="1" t="s">
        <v>631</v>
      </c>
      <c r="L240" s="1"/>
      <c r="M240" s="1"/>
    </row>
    <row r="241" spans="1:13" hidden="1" x14ac:dyDescent="0.25">
      <c r="A241" s="1" t="s">
        <v>375</v>
      </c>
      <c r="B241" s="1" t="s">
        <v>535</v>
      </c>
      <c r="C241" s="1" t="s">
        <v>1821</v>
      </c>
      <c r="D241" s="1" t="s">
        <v>95</v>
      </c>
      <c r="E241" s="1" t="s">
        <v>1822</v>
      </c>
      <c r="F241" s="1" t="s">
        <v>97</v>
      </c>
      <c r="G241" s="134">
        <v>45965</v>
      </c>
      <c r="H241" s="134">
        <v>45966</v>
      </c>
      <c r="I241" s="134">
        <v>46045</v>
      </c>
      <c r="J241" s="1" t="s">
        <v>572</v>
      </c>
      <c r="K241" s="1" t="s">
        <v>1223</v>
      </c>
      <c r="L241" s="1"/>
      <c r="M241" s="1"/>
    </row>
    <row r="242" spans="1:13" hidden="1" x14ac:dyDescent="0.25">
      <c r="A242" s="1" t="s">
        <v>375</v>
      </c>
      <c r="B242" s="1" t="s">
        <v>381</v>
      </c>
      <c r="C242" s="1" t="s">
        <v>1823</v>
      </c>
      <c r="D242" s="1" t="s">
        <v>95</v>
      </c>
      <c r="E242" s="1" t="s">
        <v>1824</v>
      </c>
      <c r="F242" s="1" t="s">
        <v>97</v>
      </c>
      <c r="G242" s="134">
        <v>45965</v>
      </c>
      <c r="H242" s="134">
        <v>45968</v>
      </c>
      <c r="I242" s="134">
        <v>45992</v>
      </c>
      <c r="J242" s="1" t="s">
        <v>445</v>
      </c>
      <c r="K242" s="1" t="s">
        <v>631</v>
      </c>
      <c r="L242" s="1"/>
      <c r="M242" s="1"/>
    </row>
    <row r="243" spans="1:13" hidden="1" x14ac:dyDescent="0.25">
      <c r="A243" s="1" t="s">
        <v>375</v>
      </c>
      <c r="B243" s="1" t="s">
        <v>535</v>
      </c>
      <c r="C243" s="1" t="s">
        <v>1825</v>
      </c>
      <c r="D243" s="1" t="s">
        <v>95</v>
      </c>
      <c r="E243" s="1" t="s">
        <v>1826</v>
      </c>
      <c r="F243" s="1" t="s">
        <v>97</v>
      </c>
      <c r="G243" s="134">
        <v>45965</v>
      </c>
      <c r="H243" s="134">
        <v>45966</v>
      </c>
      <c r="I243" s="134">
        <v>46045</v>
      </c>
      <c r="J243" s="1" t="s">
        <v>572</v>
      </c>
      <c r="K243" s="1" t="s">
        <v>1223</v>
      </c>
      <c r="L243" s="1"/>
      <c r="M243" s="1"/>
    </row>
    <row r="244" spans="1:13" hidden="1" x14ac:dyDescent="0.25">
      <c r="A244" s="1" t="s">
        <v>375</v>
      </c>
      <c r="B244" s="1" t="s">
        <v>381</v>
      </c>
      <c r="C244" s="1" t="s">
        <v>1827</v>
      </c>
      <c r="D244" s="1" t="s">
        <v>95</v>
      </c>
      <c r="E244" s="1" t="s">
        <v>1828</v>
      </c>
      <c r="F244" s="1" t="s">
        <v>97</v>
      </c>
      <c r="G244" s="134">
        <v>45965</v>
      </c>
      <c r="H244" s="134">
        <v>45968</v>
      </c>
      <c r="I244" s="134">
        <v>45992</v>
      </c>
      <c r="J244" s="1" t="s">
        <v>445</v>
      </c>
      <c r="K244" s="1" t="s">
        <v>631</v>
      </c>
      <c r="L244" s="1"/>
      <c r="M244" s="1"/>
    </row>
    <row r="245" spans="1:13" hidden="1" x14ac:dyDescent="0.25">
      <c r="A245" s="1" t="s">
        <v>375</v>
      </c>
      <c r="B245" s="1" t="s">
        <v>535</v>
      </c>
      <c r="C245" s="1" t="s">
        <v>1829</v>
      </c>
      <c r="D245" s="1" t="s">
        <v>95</v>
      </c>
      <c r="E245" s="1" t="s">
        <v>1830</v>
      </c>
      <c r="F245" s="1" t="s">
        <v>97</v>
      </c>
      <c r="G245" s="134">
        <v>45965</v>
      </c>
      <c r="H245" s="134">
        <v>45966</v>
      </c>
      <c r="I245" s="134">
        <v>46045</v>
      </c>
      <c r="J245" s="1" t="s">
        <v>572</v>
      </c>
      <c r="K245" s="1" t="s">
        <v>1223</v>
      </c>
      <c r="L245" s="1"/>
      <c r="M245" s="1"/>
    </row>
    <row r="246" spans="1:13" hidden="1" x14ac:dyDescent="0.25">
      <c r="A246" s="1" t="s">
        <v>375</v>
      </c>
      <c r="B246" s="1" t="s">
        <v>535</v>
      </c>
      <c r="C246" s="1" t="s">
        <v>1831</v>
      </c>
      <c r="D246" s="1" t="s">
        <v>95</v>
      </c>
      <c r="E246" s="1" t="s">
        <v>1832</v>
      </c>
      <c r="F246" s="1" t="s">
        <v>97</v>
      </c>
      <c r="G246" s="134">
        <v>45965</v>
      </c>
      <c r="H246" s="134">
        <v>45966</v>
      </c>
      <c r="I246" s="134">
        <v>46045</v>
      </c>
      <c r="J246" s="1" t="s">
        <v>572</v>
      </c>
      <c r="K246" s="1" t="s">
        <v>1223</v>
      </c>
      <c r="L246" s="1"/>
      <c r="M246" s="1"/>
    </row>
    <row r="247" spans="1:13" hidden="1" x14ac:dyDescent="0.25">
      <c r="A247" s="1" t="s">
        <v>375</v>
      </c>
      <c r="B247" s="1" t="s">
        <v>535</v>
      </c>
      <c r="C247" s="1" t="s">
        <v>1833</v>
      </c>
      <c r="D247" s="1" t="s">
        <v>95</v>
      </c>
      <c r="E247" s="1" t="s">
        <v>1834</v>
      </c>
      <c r="F247" s="1" t="s">
        <v>97</v>
      </c>
      <c r="G247" s="134">
        <v>45965</v>
      </c>
      <c r="H247" s="134">
        <v>45966</v>
      </c>
      <c r="I247" s="134">
        <v>46045</v>
      </c>
      <c r="J247" s="1" t="s">
        <v>572</v>
      </c>
      <c r="K247" s="1" t="s">
        <v>1223</v>
      </c>
      <c r="L247" s="1"/>
      <c r="M247" s="1"/>
    </row>
    <row r="248" spans="1:13" hidden="1" x14ac:dyDescent="0.25">
      <c r="A248" s="1" t="s">
        <v>375</v>
      </c>
      <c r="B248" s="1" t="s">
        <v>535</v>
      </c>
      <c r="C248" s="1" t="s">
        <v>1835</v>
      </c>
      <c r="D248" s="1" t="s">
        <v>95</v>
      </c>
      <c r="E248" s="1" t="s">
        <v>1836</v>
      </c>
      <c r="F248" s="1" t="s">
        <v>97</v>
      </c>
      <c r="G248" s="134">
        <v>45965</v>
      </c>
      <c r="H248" s="134">
        <v>45966</v>
      </c>
      <c r="I248" s="134">
        <v>46045</v>
      </c>
      <c r="J248" s="1" t="s">
        <v>572</v>
      </c>
      <c r="K248" s="1" t="s">
        <v>1223</v>
      </c>
      <c r="L248" s="1"/>
      <c r="M248" s="1"/>
    </row>
    <row r="249" spans="1:13" hidden="1" x14ac:dyDescent="0.25">
      <c r="A249" s="1" t="s">
        <v>375</v>
      </c>
      <c r="B249" s="1" t="s">
        <v>535</v>
      </c>
      <c r="C249" s="1" t="s">
        <v>1837</v>
      </c>
      <c r="D249" s="1" t="s">
        <v>95</v>
      </c>
      <c r="E249" s="1" t="s">
        <v>1838</v>
      </c>
      <c r="F249" s="1" t="s">
        <v>97</v>
      </c>
      <c r="G249" s="134">
        <v>45965</v>
      </c>
      <c r="H249" s="134">
        <v>45966</v>
      </c>
      <c r="I249" s="134">
        <v>46045</v>
      </c>
      <c r="J249" s="1" t="s">
        <v>572</v>
      </c>
      <c r="K249" s="1" t="s">
        <v>1223</v>
      </c>
      <c r="L249" s="1"/>
      <c r="M249" s="1"/>
    </row>
    <row r="250" spans="1:13" hidden="1" x14ac:dyDescent="0.25">
      <c r="A250" s="1" t="s">
        <v>375</v>
      </c>
      <c r="B250" s="1" t="s">
        <v>535</v>
      </c>
      <c r="C250" s="1" t="s">
        <v>1839</v>
      </c>
      <c r="D250" s="1" t="s">
        <v>95</v>
      </c>
      <c r="E250" s="1" t="s">
        <v>1840</v>
      </c>
      <c r="F250" s="1" t="s">
        <v>97</v>
      </c>
      <c r="G250" s="134">
        <v>45965</v>
      </c>
      <c r="H250" s="134">
        <v>45966</v>
      </c>
      <c r="I250" s="134">
        <v>46045</v>
      </c>
      <c r="J250" s="1" t="s">
        <v>572</v>
      </c>
      <c r="K250" s="1" t="s">
        <v>1223</v>
      </c>
      <c r="L250" s="1"/>
      <c r="M250" s="1"/>
    </row>
    <row r="251" spans="1:13" hidden="1" x14ac:dyDescent="0.25">
      <c r="A251" s="1" t="s">
        <v>375</v>
      </c>
      <c r="B251" s="1" t="s">
        <v>535</v>
      </c>
      <c r="C251" s="1" t="s">
        <v>1841</v>
      </c>
      <c r="D251" s="1" t="s">
        <v>95</v>
      </c>
      <c r="E251" s="1" t="s">
        <v>1842</v>
      </c>
      <c r="F251" s="1" t="s">
        <v>97</v>
      </c>
      <c r="G251" s="134">
        <v>45965</v>
      </c>
      <c r="H251" s="134">
        <v>45966</v>
      </c>
      <c r="I251" s="134">
        <v>46045</v>
      </c>
      <c r="J251" s="1" t="s">
        <v>572</v>
      </c>
      <c r="K251" s="1" t="s">
        <v>1223</v>
      </c>
      <c r="L251" s="1"/>
      <c r="M251" s="1"/>
    </row>
    <row r="252" spans="1:13" hidden="1" x14ac:dyDescent="0.25">
      <c r="A252" s="1" t="s">
        <v>375</v>
      </c>
      <c r="B252" s="1" t="s">
        <v>535</v>
      </c>
      <c r="C252" s="1" t="s">
        <v>1843</v>
      </c>
      <c r="D252" s="1" t="s">
        <v>95</v>
      </c>
      <c r="E252" s="1" t="s">
        <v>1844</v>
      </c>
      <c r="F252" s="1" t="s">
        <v>97</v>
      </c>
      <c r="G252" s="134">
        <v>45965</v>
      </c>
      <c r="H252" s="134">
        <v>45966</v>
      </c>
      <c r="I252" s="134">
        <v>46045</v>
      </c>
      <c r="J252" s="1" t="s">
        <v>572</v>
      </c>
      <c r="K252" s="1" t="s">
        <v>1223</v>
      </c>
      <c r="L252" s="1"/>
      <c r="M252" s="1"/>
    </row>
    <row r="253" spans="1:13" hidden="1" x14ac:dyDescent="0.25">
      <c r="A253" s="1" t="s">
        <v>375</v>
      </c>
      <c r="B253" s="1" t="s">
        <v>535</v>
      </c>
      <c r="C253" s="1" t="s">
        <v>1845</v>
      </c>
      <c r="D253" s="1" t="s">
        <v>95</v>
      </c>
      <c r="E253" s="1" t="s">
        <v>1846</v>
      </c>
      <c r="F253" s="1" t="s">
        <v>97</v>
      </c>
      <c r="G253" s="134">
        <v>45965</v>
      </c>
      <c r="H253" s="134">
        <v>45966</v>
      </c>
      <c r="I253" s="134">
        <v>46045</v>
      </c>
      <c r="J253" s="1" t="s">
        <v>572</v>
      </c>
      <c r="K253" s="1" t="s">
        <v>1223</v>
      </c>
      <c r="L253" s="1"/>
      <c r="M253" s="1"/>
    </row>
    <row r="254" spans="1:13" hidden="1" x14ac:dyDescent="0.25">
      <c r="A254" s="1" t="s">
        <v>375</v>
      </c>
      <c r="B254" s="1" t="s">
        <v>535</v>
      </c>
      <c r="C254" s="1" t="s">
        <v>1847</v>
      </c>
      <c r="D254" s="1" t="s">
        <v>95</v>
      </c>
      <c r="E254" s="1" t="s">
        <v>1848</v>
      </c>
      <c r="F254" s="1" t="s">
        <v>97</v>
      </c>
      <c r="G254" s="134">
        <v>45965</v>
      </c>
      <c r="H254" s="134">
        <v>45966</v>
      </c>
      <c r="I254" s="134">
        <v>46045</v>
      </c>
      <c r="J254" s="1" t="s">
        <v>572</v>
      </c>
      <c r="K254" s="1" t="s">
        <v>1223</v>
      </c>
      <c r="L254" s="1"/>
      <c r="M254" s="1"/>
    </row>
    <row r="255" spans="1:13" hidden="1" x14ac:dyDescent="0.25">
      <c r="A255" s="1" t="s">
        <v>375</v>
      </c>
      <c r="B255" s="1" t="s">
        <v>535</v>
      </c>
      <c r="C255" s="1" t="s">
        <v>1849</v>
      </c>
      <c r="D255" s="1" t="s">
        <v>95</v>
      </c>
      <c r="E255" s="1" t="s">
        <v>1850</v>
      </c>
      <c r="F255" s="1" t="s">
        <v>97</v>
      </c>
      <c r="G255" s="134">
        <v>45965</v>
      </c>
      <c r="H255" s="134">
        <v>45966</v>
      </c>
      <c r="I255" s="134">
        <v>46045</v>
      </c>
      <c r="J255" s="1" t="s">
        <v>572</v>
      </c>
      <c r="K255" s="1" t="s">
        <v>1223</v>
      </c>
      <c r="L255" s="1"/>
      <c r="M255" s="1"/>
    </row>
    <row r="256" spans="1:13" hidden="1" x14ac:dyDescent="0.25">
      <c r="A256" s="1" t="s">
        <v>375</v>
      </c>
      <c r="B256" s="1" t="s">
        <v>535</v>
      </c>
      <c r="C256" s="1" t="s">
        <v>1851</v>
      </c>
      <c r="D256" s="1" t="s">
        <v>95</v>
      </c>
      <c r="E256" s="1" t="s">
        <v>1852</v>
      </c>
      <c r="F256" s="1" t="s">
        <v>97</v>
      </c>
      <c r="G256" s="134">
        <v>45965</v>
      </c>
      <c r="H256" s="134">
        <v>45966</v>
      </c>
      <c r="I256" s="134">
        <v>46045</v>
      </c>
      <c r="J256" s="1" t="s">
        <v>572</v>
      </c>
      <c r="K256" s="1" t="s">
        <v>1223</v>
      </c>
      <c r="L256" s="1"/>
      <c r="M256" s="1"/>
    </row>
    <row r="257" spans="1:13" hidden="1" x14ac:dyDescent="0.25">
      <c r="A257" s="1" t="s">
        <v>375</v>
      </c>
      <c r="B257" s="1" t="s">
        <v>535</v>
      </c>
      <c r="C257" s="1" t="s">
        <v>1853</v>
      </c>
      <c r="D257" s="1" t="s">
        <v>95</v>
      </c>
      <c r="E257" s="1" t="s">
        <v>1854</v>
      </c>
      <c r="F257" s="1" t="s">
        <v>97</v>
      </c>
      <c r="G257" s="134">
        <v>45965</v>
      </c>
      <c r="H257" s="134">
        <v>45966</v>
      </c>
      <c r="I257" s="134">
        <v>46045</v>
      </c>
      <c r="J257" s="1" t="s">
        <v>572</v>
      </c>
      <c r="K257" s="1" t="s">
        <v>1223</v>
      </c>
      <c r="L257" s="1"/>
      <c r="M257" s="1"/>
    </row>
    <row r="258" spans="1:13" hidden="1" x14ac:dyDescent="0.25">
      <c r="A258" s="1" t="s">
        <v>51</v>
      </c>
      <c r="B258" s="1" t="s">
        <v>82</v>
      </c>
      <c r="C258" s="1" t="s">
        <v>1855</v>
      </c>
      <c r="D258" s="1" t="s">
        <v>658</v>
      </c>
      <c r="E258" s="1" t="s">
        <v>1856</v>
      </c>
      <c r="F258" s="1" t="s">
        <v>98</v>
      </c>
      <c r="G258" s="134">
        <v>45965</v>
      </c>
      <c r="H258" s="1"/>
      <c r="I258" s="134">
        <v>46059</v>
      </c>
      <c r="J258" s="1" t="s">
        <v>432</v>
      </c>
      <c r="K258" s="1" t="s">
        <v>485</v>
      </c>
      <c r="L258" s="1"/>
      <c r="M258" s="1"/>
    </row>
    <row r="259" spans="1:13" hidden="1" x14ac:dyDescent="0.25">
      <c r="A259" s="1" t="s">
        <v>375</v>
      </c>
      <c r="B259" s="1" t="s">
        <v>535</v>
      </c>
      <c r="C259" s="1" t="s">
        <v>1857</v>
      </c>
      <c r="D259" s="1" t="s">
        <v>95</v>
      </c>
      <c r="E259" s="1" t="s">
        <v>1858</v>
      </c>
      <c r="F259" s="1" t="s">
        <v>97</v>
      </c>
      <c r="G259" s="134">
        <v>45965</v>
      </c>
      <c r="H259" s="134">
        <v>45966</v>
      </c>
      <c r="I259" s="134">
        <v>46045</v>
      </c>
      <c r="J259" s="1" t="s">
        <v>572</v>
      </c>
      <c r="K259" s="1" t="s">
        <v>1223</v>
      </c>
      <c r="L259" s="1"/>
      <c r="M259" s="1"/>
    </row>
    <row r="260" spans="1:13" hidden="1" x14ac:dyDescent="0.25">
      <c r="A260" s="1" t="s">
        <v>375</v>
      </c>
      <c r="B260" s="1" t="s">
        <v>535</v>
      </c>
      <c r="C260" s="1" t="s">
        <v>1859</v>
      </c>
      <c r="D260" s="1" t="s">
        <v>95</v>
      </c>
      <c r="E260" s="1" t="s">
        <v>1860</v>
      </c>
      <c r="F260" s="1" t="s">
        <v>97</v>
      </c>
      <c r="G260" s="134">
        <v>45966</v>
      </c>
      <c r="H260" s="134">
        <v>45968</v>
      </c>
      <c r="I260" s="134">
        <v>45992</v>
      </c>
      <c r="J260" s="1" t="s">
        <v>540</v>
      </c>
      <c r="K260" s="1" t="s">
        <v>893</v>
      </c>
      <c r="L260" s="1"/>
      <c r="M260" s="1"/>
    </row>
    <row r="261" spans="1:13" hidden="1" x14ac:dyDescent="0.25">
      <c r="A261" s="1" t="s">
        <v>375</v>
      </c>
      <c r="B261" s="1" t="s">
        <v>535</v>
      </c>
      <c r="C261" s="1" t="s">
        <v>1861</v>
      </c>
      <c r="D261" s="1" t="s">
        <v>95</v>
      </c>
      <c r="E261" s="1" t="s">
        <v>1862</v>
      </c>
      <c r="F261" s="1" t="s">
        <v>97</v>
      </c>
      <c r="G261" s="134">
        <v>45966</v>
      </c>
      <c r="H261" s="134">
        <v>45968</v>
      </c>
      <c r="I261" s="134">
        <v>45992</v>
      </c>
      <c r="J261" s="1" t="s">
        <v>540</v>
      </c>
      <c r="K261" s="1" t="s">
        <v>893</v>
      </c>
      <c r="L261" s="1"/>
      <c r="M261" s="1"/>
    </row>
    <row r="262" spans="1:13" hidden="1" x14ac:dyDescent="0.25">
      <c r="A262" s="1" t="s">
        <v>375</v>
      </c>
      <c r="B262" s="1" t="s">
        <v>381</v>
      </c>
      <c r="C262" s="1" t="s">
        <v>1863</v>
      </c>
      <c r="D262" s="1" t="s">
        <v>658</v>
      </c>
      <c r="E262" s="1" t="s">
        <v>2159</v>
      </c>
      <c r="F262" s="1" t="s">
        <v>99</v>
      </c>
      <c r="G262" s="134">
        <v>45966</v>
      </c>
      <c r="H262" s="134">
        <v>46148</v>
      </c>
      <c r="I262" s="134">
        <v>46155</v>
      </c>
      <c r="J262" s="1" t="s">
        <v>487</v>
      </c>
      <c r="K262" s="1" t="s">
        <v>898</v>
      </c>
      <c r="L262" s="1"/>
      <c r="M262" s="1"/>
    </row>
    <row r="263" spans="1:13" hidden="1" x14ac:dyDescent="0.25">
      <c r="A263" s="1" t="s">
        <v>375</v>
      </c>
      <c r="B263" s="1" t="s">
        <v>535</v>
      </c>
      <c r="C263" s="1" t="s">
        <v>1864</v>
      </c>
      <c r="D263" s="1" t="s">
        <v>95</v>
      </c>
      <c r="E263" s="1" t="s">
        <v>1865</v>
      </c>
      <c r="F263" s="1" t="s">
        <v>97</v>
      </c>
      <c r="G263" s="134">
        <v>45966</v>
      </c>
      <c r="H263" s="134">
        <v>45968</v>
      </c>
      <c r="I263" s="134">
        <v>45992</v>
      </c>
      <c r="J263" s="1" t="s">
        <v>540</v>
      </c>
      <c r="K263" s="1" t="s">
        <v>893</v>
      </c>
      <c r="L263" s="1"/>
      <c r="M263" s="1"/>
    </row>
    <row r="264" spans="1:13" hidden="1" x14ac:dyDescent="0.25">
      <c r="A264" s="1" t="s">
        <v>375</v>
      </c>
      <c r="B264" s="1" t="s">
        <v>535</v>
      </c>
      <c r="C264" s="1" t="s">
        <v>1866</v>
      </c>
      <c r="D264" s="1" t="s">
        <v>95</v>
      </c>
      <c r="E264" s="1" t="s">
        <v>1867</v>
      </c>
      <c r="F264" s="1" t="s">
        <v>97</v>
      </c>
      <c r="G264" s="134">
        <v>45966</v>
      </c>
      <c r="H264" s="134">
        <v>45968</v>
      </c>
      <c r="I264" s="134">
        <v>45992</v>
      </c>
      <c r="J264" s="1" t="s">
        <v>540</v>
      </c>
      <c r="K264" s="1" t="s">
        <v>893</v>
      </c>
      <c r="L264" s="1"/>
      <c r="M264" s="1"/>
    </row>
    <row r="265" spans="1:13" hidden="1" x14ac:dyDescent="0.25">
      <c r="A265" s="1" t="s">
        <v>375</v>
      </c>
      <c r="B265" s="1" t="s">
        <v>535</v>
      </c>
      <c r="C265" s="1" t="s">
        <v>1868</v>
      </c>
      <c r="D265" s="1" t="s">
        <v>95</v>
      </c>
      <c r="E265" s="1" t="s">
        <v>1869</v>
      </c>
      <c r="F265" s="1" t="s">
        <v>97</v>
      </c>
      <c r="G265" s="134">
        <v>45966</v>
      </c>
      <c r="H265" s="134">
        <v>45968</v>
      </c>
      <c r="I265" s="134">
        <v>45992</v>
      </c>
      <c r="J265" s="1" t="s">
        <v>540</v>
      </c>
      <c r="K265" s="1" t="s">
        <v>893</v>
      </c>
      <c r="L265" s="1"/>
      <c r="M265" s="1"/>
    </row>
    <row r="266" spans="1:13" ht="79.2" x14ac:dyDescent="0.25">
      <c r="A266" s="146" t="s">
        <v>382</v>
      </c>
      <c r="B266" s="146" t="s">
        <v>578</v>
      </c>
      <c r="C266" s="146" t="s">
        <v>1870</v>
      </c>
      <c r="D266" s="146" t="s">
        <v>658</v>
      </c>
      <c r="E266" s="146" t="s">
        <v>1871</v>
      </c>
      <c r="F266" s="146" t="s">
        <v>99</v>
      </c>
      <c r="G266" s="147">
        <v>45966</v>
      </c>
      <c r="H266" s="147">
        <v>45975</v>
      </c>
      <c r="I266" s="147">
        <v>45994</v>
      </c>
      <c r="J266" s="146" t="s">
        <v>587</v>
      </c>
      <c r="K266" s="146" t="s">
        <v>1774</v>
      </c>
      <c r="L266" s="146" t="s">
        <v>1775</v>
      </c>
      <c r="M266" s="148" t="s">
        <v>1216</v>
      </c>
    </row>
    <row r="267" spans="1:13" ht="39.6" x14ac:dyDescent="0.25">
      <c r="A267" s="142" t="s">
        <v>380</v>
      </c>
      <c r="B267" s="142" t="s">
        <v>1234</v>
      </c>
      <c r="C267" s="142" t="s">
        <v>1872</v>
      </c>
      <c r="D267" s="142" t="s">
        <v>95</v>
      </c>
      <c r="E267" s="142" t="s">
        <v>1873</v>
      </c>
      <c r="F267" s="142" t="s">
        <v>97</v>
      </c>
      <c r="G267" s="143">
        <v>45966</v>
      </c>
      <c r="H267" s="143">
        <v>45968</v>
      </c>
      <c r="I267" s="143">
        <v>45992</v>
      </c>
      <c r="J267" s="142" t="s">
        <v>887</v>
      </c>
      <c r="K267" s="142" t="s">
        <v>888</v>
      </c>
      <c r="L267" s="142"/>
      <c r="M267" s="144" t="s">
        <v>661</v>
      </c>
    </row>
    <row r="268" spans="1:13" hidden="1" x14ac:dyDescent="0.25">
      <c r="A268" s="1" t="s">
        <v>384</v>
      </c>
      <c r="B268" s="1" t="s">
        <v>1234</v>
      </c>
      <c r="C268" s="1" t="s">
        <v>2005</v>
      </c>
      <c r="D268" s="1" t="s">
        <v>95</v>
      </c>
      <c r="E268" s="1" t="s">
        <v>2006</v>
      </c>
      <c r="F268" s="1" t="s">
        <v>97</v>
      </c>
      <c r="G268" s="134">
        <v>45967</v>
      </c>
      <c r="H268" s="134">
        <v>45968</v>
      </c>
      <c r="I268" s="134">
        <v>45994</v>
      </c>
      <c r="J268" s="1" t="s">
        <v>520</v>
      </c>
      <c r="K268" s="1" t="s">
        <v>888</v>
      </c>
      <c r="L268" s="1"/>
      <c r="M268" s="1"/>
    </row>
    <row r="269" spans="1:13" hidden="1" x14ac:dyDescent="0.25">
      <c r="A269" s="1" t="s">
        <v>382</v>
      </c>
      <c r="B269" s="1" t="s">
        <v>578</v>
      </c>
      <c r="C269" s="1" t="s">
        <v>2007</v>
      </c>
      <c r="D269" s="1" t="s">
        <v>95</v>
      </c>
      <c r="E269" s="1" t="s">
        <v>2008</v>
      </c>
      <c r="F269" s="1" t="s">
        <v>97</v>
      </c>
      <c r="G269" s="134">
        <v>45967</v>
      </c>
      <c r="H269" s="134">
        <v>45975</v>
      </c>
      <c r="I269" s="134">
        <v>45994</v>
      </c>
      <c r="J269" s="1" t="s">
        <v>587</v>
      </c>
      <c r="K269" s="1" t="s">
        <v>888</v>
      </c>
      <c r="L269" s="1"/>
      <c r="M269" s="1"/>
    </row>
    <row r="270" spans="1:13" ht="79.2" x14ac:dyDescent="0.25">
      <c r="A270" s="146" t="s">
        <v>375</v>
      </c>
      <c r="B270" s="146" t="s">
        <v>535</v>
      </c>
      <c r="C270" s="146" t="s">
        <v>2009</v>
      </c>
      <c r="D270" s="146" t="s">
        <v>658</v>
      </c>
      <c r="E270" s="146" t="s">
        <v>2010</v>
      </c>
      <c r="F270" s="146" t="s">
        <v>99</v>
      </c>
      <c r="G270" s="147">
        <v>45971</v>
      </c>
      <c r="H270" s="147">
        <v>45975</v>
      </c>
      <c r="I270" s="147">
        <v>45996</v>
      </c>
      <c r="J270" s="146" t="s">
        <v>445</v>
      </c>
      <c r="K270" s="146" t="s">
        <v>631</v>
      </c>
      <c r="L270" s="146"/>
      <c r="M270" s="148" t="s">
        <v>1216</v>
      </c>
    </row>
    <row r="271" spans="1:13" hidden="1" x14ac:dyDescent="0.25">
      <c r="A271" s="1" t="s">
        <v>375</v>
      </c>
      <c r="B271" s="1" t="s">
        <v>535</v>
      </c>
      <c r="C271" s="1" t="s">
        <v>2011</v>
      </c>
      <c r="D271" s="1" t="s">
        <v>95</v>
      </c>
      <c r="E271" s="1" t="s">
        <v>2012</v>
      </c>
      <c r="F271" s="1" t="s">
        <v>97</v>
      </c>
      <c r="G271" s="134">
        <v>45971</v>
      </c>
      <c r="H271" s="134">
        <v>45972</v>
      </c>
      <c r="I271" s="134">
        <v>45996</v>
      </c>
      <c r="J271" s="1" t="s">
        <v>2013</v>
      </c>
      <c r="K271" s="1" t="s">
        <v>2014</v>
      </c>
      <c r="L271" s="1"/>
      <c r="M271" s="1"/>
    </row>
    <row r="272" spans="1:13" hidden="1" x14ac:dyDescent="0.25">
      <c r="A272" s="1" t="s">
        <v>375</v>
      </c>
      <c r="B272" s="1" t="s">
        <v>535</v>
      </c>
      <c r="C272" s="1" t="s">
        <v>2015</v>
      </c>
      <c r="D272" s="1" t="s">
        <v>95</v>
      </c>
      <c r="E272" s="1" t="s">
        <v>2016</v>
      </c>
      <c r="F272" s="1" t="s">
        <v>97</v>
      </c>
      <c r="G272" s="134">
        <v>45971</v>
      </c>
      <c r="H272" s="134">
        <v>45972</v>
      </c>
      <c r="I272" s="134">
        <v>45996</v>
      </c>
      <c r="J272" s="1" t="s">
        <v>2013</v>
      </c>
      <c r="K272" s="1" t="s">
        <v>2014</v>
      </c>
      <c r="L272" s="1"/>
      <c r="M272" s="1"/>
    </row>
    <row r="273" spans="1:13" hidden="1" x14ac:dyDescent="0.25">
      <c r="A273" s="1" t="s">
        <v>380</v>
      </c>
      <c r="B273" s="1"/>
      <c r="C273" s="1" t="s">
        <v>2017</v>
      </c>
      <c r="D273" s="1" t="s">
        <v>658</v>
      </c>
      <c r="E273" s="1" t="s">
        <v>2018</v>
      </c>
      <c r="F273" s="1" t="s">
        <v>99</v>
      </c>
      <c r="G273" s="134">
        <v>45971</v>
      </c>
      <c r="H273" s="134">
        <v>45982</v>
      </c>
      <c r="I273" s="134">
        <v>46031</v>
      </c>
      <c r="J273" s="1" t="s">
        <v>520</v>
      </c>
      <c r="K273" s="1" t="s">
        <v>888</v>
      </c>
      <c r="L273" s="1"/>
      <c r="M273" s="1"/>
    </row>
    <row r="274" spans="1:13" hidden="1" x14ac:dyDescent="0.25">
      <c r="A274" s="1" t="s">
        <v>380</v>
      </c>
      <c r="B274" s="1" t="s">
        <v>1981</v>
      </c>
      <c r="C274" s="1" t="s">
        <v>2019</v>
      </c>
      <c r="D274" s="1" t="s">
        <v>95</v>
      </c>
      <c r="E274" s="1" t="s">
        <v>2020</v>
      </c>
      <c r="F274" s="1" t="s">
        <v>99</v>
      </c>
      <c r="G274" s="134">
        <v>45971</v>
      </c>
      <c r="H274" s="134">
        <v>45982</v>
      </c>
      <c r="I274" s="134">
        <v>46031</v>
      </c>
      <c r="J274" s="1" t="s">
        <v>520</v>
      </c>
      <c r="K274" s="1" t="s">
        <v>888</v>
      </c>
      <c r="L274" s="1"/>
      <c r="M274" s="1"/>
    </row>
    <row r="275" spans="1:13" hidden="1" x14ac:dyDescent="0.25">
      <c r="A275" s="1" t="s">
        <v>375</v>
      </c>
      <c r="B275" s="1" t="s">
        <v>535</v>
      </c>
      <c r="C275" s="1" t="s">
        <v>2021</v>
      </c>
      <c r="D275" s="1" t="s">
        <v>95</v>
      </c>
      <c r="E275" s="1" t="s">
        <v>2022</v>
      </c>
      <c r="F275" s="1" t="s">
        <v>97</v>
      </c>
      <c r="G275" s="134">
        <v>45971</v>
      </c>
      <c r="H275" s="134">
        <v>45975</v>
      </c>
      <c r="I275" s="134">
        <v>45990</v>
      </c>
      <c r="J275" s="1" t="s">
        <v>445</v>
      </c>
      <c r="K275" s="1" t="s">
        <v>631</v>
      </c>
      <c r="L275" s="1"/>
      <c r="M275" s="1"/>
    </row>
    <row r="276" spans="1:13" hidden="1" x14ac:dyDescent="0.25">
      <c r="A276" s="1" t="s">
        <v>375</v>
      </c>
      <c r="B276" s="1" t="s">
        <v>535</v>
      </c>
      <c r="C276" s="1" t="s">
        <v>2023</v>
      </c>
      <c r="D276" s="1" t="s">
        <v>95</v>
      </c>
      <c r="E276" s="1" t="s">
        <v>2024</v>
      </c>
      <c r="F276" s="1" t="s">
        <v>97</v>
      </c>
      <c r="G276" s="134">
        <v>45971</v>
      </c>
      <c r="H276" s="134">
        <v>45975</v>
      </c>
      <c r="I276" s="134">
        <v>45990</v>
      </c>
      <c r="J276" s="1" t="s">
        <v>445</v>
      </c>
      <c r="K276" s="1" t="s">
        <v>631</v>
      </c>
      <c r="L276" s="1"/>
      <c r="M276" s="1"/>
    </row>
    <row r="277" spans="1:13" hidden="1" x14ac:dyDescent="0.25">
      <c r="A277" s="1" t="s">
        <v>375</v>
      </c>
      <c r="B277" s="1" t="s">
        <v>535</v>
      </c>
      <c r="C277" s="1" t="s">
        <v>2025</v>
      </c>
      <c r="D277" s="1" t="s">
        <v>95</v>
      </c>
      <c r="E277" s="1" t="s">
        <v>2026</v>
      </c>
      <c r="F277" s="1" t="s">
        <v>97</v>
      </c>
      <c r="G277" s="134">
        <v>45971</v>
      </c>
      <c r="H277" s="134">
        <v>45972</v>
      </c>
      <c r="I277" s="134">
        <v>45996</v>
      </c>
      <c r="J277" s="1" t="s">
        <v>2013</v>
      </c>
      <c r="K277" s="1" t="s">
        <v>2014</v>
      </c>
      <c r="L277" s="1"/>
      <c r="M277" s="1"/>
    </row>
    <row r="278" spans="1:13" ht="79.2" x14ac:dyDescent="0.25">
      <c r="A278" s="146" t="s">
        <v>375</v>
      </c>
      <c r="B278" s="146" t="s">
        <v>535</v>
      </c>
      <c r="C278" s="146" t="s">
        <v>2027</v>
      </c>
      <c r="D278" s="146" t="s">
        <v>658</v>
      </c>
      <c r="E278" s="146" t="s">
        <v>2028</v>
      </c>
      <c r="F278" s="146" t="s">
        <v>99</v>
      </c>
      <c r="G278" s="147">
        <v>45972</v>
      </c>
      <c r="H278" s="147">
        <v>45978</v>
      </c>
      <c r="I278" s="147">
        <v>45994</v>
      </c>
      <c r="J278" s="146" t="s">
        <v>445</v>
      </c>
      <c r="K278" s="146" t="s">
        <v>631</v>
      </c>
      <c r="L278" s="146"/>
      <c r="M278" s="148" t="s">
        <v>1216</v>
      </c>
    </row>
    <row r="279" spans="1:13" hidden="1" x14ac:dyDescent="0.25">
      <c r="A279" s="1" t="s">
        <v>375</v>
      </c>
      <c r="B279" s="1" t="s">
        <v>535</v>
      </c>
      <c r="C279" s="1" t="s">
        <v>2029</v>
      </c>
      <c r="D279" s="1" t="s">
        <v>95</v>
      </c>
      <c r="E279" s="1" t="s">
        <v>2030</v>
      </c>
      <c r="F279" s="1" t="s">
        <v>97</v>
      </c>
      <c r="G279" s="134">
        <v>45972</v>
      </c>
      <c r="H279" s="134">
        <v>45978</v>
      </c>
      <c r="I279" s="134">
        <v>46022</v>
      </c>
      <c r="J279" s="1" t="s">
        <v>445</v>
      </c>
      <c r="K279" s="1" t="s">
        <v>631</v>
      </c>
      <c r="L279" s="1"/>
      <c r="M279" s="1"/>
    </row>
    <row r="280" spans="1:13" hidden="1" x14ac:dyDescent="0.25">
      <c r="A280" s="1" t="s">
        <v>375</v>
      </c>
      <c r="B280" s="1" t="s">
        <v>535</v>
      </c>
      <c r="C280" s="1" t="s">
        <v>2031</v>
      </c>
      <c r="D280" s="1" t="s">
        <v>95</v>
      </c>
      <c r="E280" s="1" t="s">
        <v>2032</v>
      </c>
      <c r="F280" s="1" t="s">
        <v>97</v>
      </c>
      <c r="G280" s="134">
        <v>45972</v>
      </c>
      <c r="H280" s="134">
        <v>45975</v>
      </c>
      <c r="I280" s="134">
        <v>46022</v>
      </c>
      <c r="J280" s="1" t="s">
        <v>445</v>
      </c>
      <c r="K280" s="1" t="s">
        <v>631</v>
      </c>
      <c r="L280" s="1"/>
      <c r="M280" s="1"/>
    </row>
    <row r="281" spans="1:13" hidden="1" x14ac:dyDescent="0.25">
      <c r="A281" s="1" t="s">
        <v>375</v>
      </c>
      <c r="B281" s="1" t="s">
        <v>535</v>
      </c>
      <c r="C281" s="1" t="s">
        <v>2033</v>
      </c>
      <c r="D281" s="1" t="s">
        <v>95</v>
      </c>
      <c r="E281" s="1" t="s">
        <v>2034</v>
      </c>
      <c r="F281" s="1" t="s">
        <v>97</v>
      </c>
      <c r="G281" s="134">
        <v>45972</v>
      </c>
      <c r="H281" s="134">
        <v>45978</v>
      </c>
      <c r="I281" s="134">
        <v>46022</v>
      </c>
      <c r="J281" s="1" t="s">
        <v>445</v>
      </c>
      <c r="K281" s="1" t="s">
        <v>631</v>
      </c>
      <c r="L281" s="1"/>
      <c r="M281" s="1"/>
    </row>
    <row r="282" spans="1:13" hidden="1" x14ac:dyDescent="0.25">
      <c r="A282" s="1" t="s">
        <v>375</v>
      </c>
      <c r="B282" s="1" t="s">
        <v>535</v>
      </c>
      <c r="C282" s="1" t="s">
        <v>2035</v>
      </c>
      <c r="D282" s="1" t="s">
        <v>95</v>
      </c>
      <c r="E282" s="1" t="s">
        <v>2036</v>
      </c>
      <c r="F282" s="1" t="s">
        <v>97</v>
      </c>
      <c r="G282" s="134">
        <v>45972</v>
      </c>
      <c r="H282" s="134">
        <v>45978</v>
      </c>
      <c r="I282" s="134">
        <v>46022</v>
      </c>
      <c r="J282" s="1" t="s">
        <v>445</v>
      </c>
      <c r="K282" s="1" t="s">
        <v>631</v>
      </c>
      <c r="L282" s="1"/>
      <c r="M282" s="1"/>
    </row>
    <row r="283" spans="1:13" hidden="1" x14ac:dyDescent="0.25">
      <c r="A283" s="1" t="s">
        <v>375</v>
      </c>
      <c r="B283" s="1" t="s">
        <v>535</v>
      </c>
      <c r="C283" s="1" t="s">
        <v>2037</v>
      </c>
      <c r="D283" s="1" t="s">
        <v>95</v>
      </c>
      <c r="E283" s="1" t="s">
        <v>2038</v>
      </c>
      <c r="F283" s="1" t="s">
        <v>97</v>
      </c>
      <c r="G283" s="134">
        <v>45972</v>
      </c>
      <c r="H283" s="134">
        <v>45978</v>
      </c>
      <c r="I283" s="134">
        <v>46022</v>
      </c>
      <c r="J283" s="1" t="s">
        <v>445</v>
      </c>
      <c r="K283" s="1" t="s">
        <v>631</v>
      </c>
      <c r="L283" s="1"/>
      <c r="M283" s="1"/>
    </row>
    <row r="284" spans="1:13" hidden="1" x14ac:dyDescent="0.25">
      <c r="A284" s="1" t="s">
        <v>380</v>
      </c>
      <c r="B284" s="1" t="s">
        <v>1234</v>
      </c>
      <c r="C284" s="1" t="s">
        <v>2039</v>
      </c>
      <c r="D284" s="1" t="s">
        <v>95</v>
      </c>
      <c r="E284" s="1" t="s">
        <v>2040</v>
      </c>
      <c r="F284" s="1" t="s">
        <v>97</v>
      </c>
      <c r="G284" s="134">
        <v>45972</v>
      </c>
      <c r="H284" s="134">
        <v>45975</v>
      </c>
      <c r="I284" s="134">
        <v>45992</v>
      </c>
      <c r="J284" s="1" t="s">
        <v>520</v>
      </c>
      <c r="K284" s="1" t="s">
        <v>888</v>
      </c>
      <c r="L284" s="1"/>
      <c r="M284" s="1"/>
    </row>
    <row r="285" spans="1:13" hidden="1" x14ac:dyDescent="0.25">
      <c r="A285" s="1" t="s">
        <v>51</v>
      </c>
      <c r="B285" s="1" t="s">
        <v>82</v>
      </c>
      <c r="C285" s="1" t="s">
        <v>2160</v>
      </c>
      <c r="D285" s="1" t="s">
        <v>658</v>
      </c>
      <c r="E285" s="1" t="s">
        <v>2161</v>
      </c>
      <c r="F285" s="1" t="s">
        <v>98</v>
      </c>
      <c r="G285" s="134">
        <v>45974</v>
      </c>
      <c r="H285" s="1"/>
      <c r="I285" s="1"/>
      <c r="J285" s="1" t="s">
        <v>457</v>
      </c>
      <c r="K285" s="1" t="s">
        <v>1897</v>
      </c>
      <c r="L285" s="1"/>
      <c r="M285" s="1"/>
    </row>
    <row r="286" spans="1:13" hidden="1" x14ac:dyDescent="0.25">
      <c r="A286" s="1" t="s">
        <v>382</v>
      </c>
      <c r="B286" s="1" t="s">
        <v>82</v>
      </c>
      <c r="C286" s="1" t="s">
        <v>2162</v>
      </c>
      <c r="D286" s="1" t="s">
        <v>658</v>
      </c>
      <c r="E286" s="1" t="s">
        <v>2163</v>
      </c>
      <c r="F286" s="1" t="s">
        <v>99</v>
      </c>
      <c r="G286" s="134">
        <v>45974</v>
      </c>
      <c r="H286" s="134">
        <v>45982</v>
      </c>
      <c r="I286" s="134">
        <v>46045</v>
      </c>
      <c r="J286" s="1" t="s">
        <v>520</v>
      </c>
      <c r="K286" s="1" t="s">
        <v>888</v>
      </c>
      <c r="L286" s="1"/>
      <c r="M286" s="1"/>
    </row>
    <row r="287" spans="1:13" hidden="1" x14ac:dyDescent="0.25">
      <c r="A287" s="1" t="s">
        <v>382</v>
      </c>
      <c r="B287" s="1" t="s">
        <v>82</v>
      </c>
      <c r="C287" s="1" t="s">
        <v>2164</v>
      </c>
      <c r="D287" s="1" t="s">
        <v>95</v>
      </c>
      <c r="E287" s="1" t="s">
        <v>2165</v>
      </c>
      <c r="F287" s="1" t="s">
        <v>99</v>
      </c>
      <c r="G287" s="134">
        <v>45974</v>
      </c>
      <c r="H287" s="134">
        <v>45982</v>
      </c>
      <c r="I287" s="134">
        <v>46045</v>
      </c>
      <c r="J287" s="1" t="s">
        <v>520</v>
      </c>
      <c r="K287" s="1" t="s">
        <v>888</v>
      </c>
      <c r="L287" s="1"/>
      <c r="M287" s="1"/>
    </row>
    <row r="288" spans="1:13" hidden="1" x14ac:dyDescent="0.25">
      <c r="A288" s="1" t="s">
        <v>375</v>
      </c>
      <c r="B288" s="1" t="s">
        <v>535</v>
      </c>
      <c r="C288" s="1" t="s">
        <v>2166</v>
      </c>
      <c r="D288" s="1" t="s">
        <v>95</v>
      </c>
      <c r="E288" s="1" t="s">
        <v>2167</v>
      </c>
      <c r="F288" s="1" t="s">
        <v>99</v>
      </c>
      <c r="G288" s="134">
        <v>45975</v>
      </c>
      <c r="H288" s="134">
        <v>45975</v>
      </c>
      <c r="I288" s="134">
        <v>45989</v>
      </c>
      <c r="J288" s="1" t="s">
        <v>487</v>
      </c>
      <c r="K288" s="1" t="s">
        <v>898</v>
      </c>
      <c r="L288" s="1"/>
      <c r="M288" s="1"/>
    </row>
    <row r="289" spans="1:13" hidden="1" x14ac:dyDescent="0.25">
      <c r="A289" s="1" t="s">
        <v>375</v>
      </c>
      <c r="B289" s="1" t="s">
        <v>535</v>
      </c>
      <c r="C289" s="1" t="s">
        <v>2168</v>
      </c>
      <c r="D289" s="1" t="s">
        <v>95</v>
      </c>
      <c r="E289" s="1" t="s">
        <v>2169</v>
      </c>
      <c r="F289" s="1" t="s">
        <v>97</v>
      </c>
      <c r="G289" s="134">
        <v>45975</v>
      </c>
      <c r="H289" s="134">
        <v>45982</v>
      </c>
      <c r="I289" s="134">
        <v>46022</v>
      </c>
      <c r="J289" s="1" t="s">
        <v>445</v>
      </c>
      <c r="K289" s="1" t="s">
        <v>631</v>
      </c>
      <c r="L289" s="1"/>
      <c r="M289" s="1"/>
    </row>
    <row r="290" spans="1:13" hidden="1" x14ac:dyDescent="0.25">
      <c r="A290" s="1" t="s">
        <v>375</v>
      </c>
      <c r="B290" s="1" t="s">
        <v>535</v>
      </c>
      <c r="C290" s="1" t="s">
        <v>2170</v>
      </c>
      <c r="D290" s="1" t="s">
        <v>95</v>
      </c>
      <c r="E290" s="1" t="s">
        <v>2171</v>
      </c>
      <c r="F290" s="1" t="s">
        <v>97</v>
      </c>
      <c r="G290" s="134">
        <v>45975</v>
      </c>
      <c r="H290" s="134">
        <v>45982</v>
      </c>
      <c r="I290" s="134">
        <v>46022</v>
      </c>
      <c r="J290" s="1" t="s">
        <v>445</v>
      </c>
      <c r="K290" s="1" t="s">
        <v>631</v>
      </c>
      <c r="L290" s="1"/>
      <c r="M290" s="1"/>
    </row>
    <row r="291" spans="1:13" hidden="1" x14ac:dyDescent="0.25">
      <c r="A291" s="1" t="s">
        <v>375</v>
      </c>
      <c r="B291" s="1" t="s">
        <v>535</v>
      </c>
      <c r="C291" s="1" t="s">
        <v>2172</v>
      </c>
      <c r="D291" s="1" t="s">
        <v>95</v>
      </c>
      <c r="E291" s="1" t="s">
        <v>2173</v>
      </c>
      <c r="F291" s="1" t="s">
        <v>97</v>
      </c>
      <c r="G291" s="134">
        <v>45979</v>
      </c>
      <c r="H291" s="134">
        <v>45985</v>
      </c>
      <c r="I291" s="134">
        <v>46025</v>
      </c>
      <c r="J291" s="1" t="s">
        <v>445</v>
      </c>
      <c r="K291" s="1" t="s">
        <v>631</v>
      </c>
      <c r="L291" s="1"/>
      <c r="M291" s="1"/>
    </row>
    <row r="292" spans="1:13" hidden="1" x14ac:dyDescent="0.25">
      <c r="A292" s="1" t="s">
        <v>375</v>
      </c>
      <c r="B292" s="1" t="s">
        <v>535</v>
      </c>
      <c r="C292" s="1" t="s">
        <v>2174</v>
      </c>
      <c r="D292" s="1" t="s">
        <v>95</v>
      </c>
      <c r="E292" s="1" t="s">
        <v>2175</v>
      </c>
      <c r="F292" s="1" t="s">
        <v>97</v>
      </c>
      <c r="G292" s="134">
        <v>45979</v>
      </c>
      <c r="H292" s="134">
        <v>45985</v>
      </c>
      <c r="I292" s="134">
        <v>46025</v>
      </c>
      <c r="J292" s="1" t="s">
        <v>445</v>
      </c>
      <c r="K292" s="1" t="s">
        <v>631</v>
      </c>
      <c r="L292" s="1"/>
      <c r="M292" s="1"/>
    </row>
    <row r="293" spans="1:13" ht="39.6" x14ac:dyDescent="0.25">
      <c r="A293" s="138" t="s">
        <v>375</v>
      </c>
      <c r="B293" s="138" t="s">
        <v>381</v>
      </c>
      <c r="C293" s="138" t="s">
        <v>2176</v>
      </c>
      <c r="D293" s="138" t="s">
        <v>95</v>
      </c>
      <c r="E293" s="138" t="s">
        <v>2177</v>
      </c>
      <c r="F293" s="138" t="s">
        <v>97</v>
      </c>
      <c r="G293" s="139">
        <v>45980</v>
      </c>
      <c r="H293" s="139">
        <v>45988</v>
      </c>
      <c r="I293" s="139">
        <v>46021</v>
      </c>
      <c r="J293" s="138" t="s">
        <v>572</v>
      </c>
      <c r="K293" s="138" t="s">
        <v>1223</v>
      </c>
      <c r="L293" s="138"/>
      <c r="M293" s="140" t="s">
        <v>2004</v>
      </c>
    </row>
    <row r="294" spans="1:13" ht="39.6" x14ac:dyDescent="0.25">
      <c r="A294" s="138" t="s">
        <v>375</v>
      </c>
      <c r="B294" s="138" t="s">
        <v>381</v>
      </c>
      <c r="C294" s="138" t="s">
        <v>2178</v>
      </c>
      <c r="D294" s="138" t="s">
        <v>95</v>
      </c>
      <c r="E294" s="138" t="s">
        <v>2179</v>
      </c>
      <c r="F294" s="138" t="s">
        <v>97</v>
      </c>
      <c r="G294" s="139">
        <v>45980</v>
      </c>
      <c r="H294" s="139">
        <v>45988</v>
      </c>
      <c r="I294" s="139">
        <v>46021</v>
      </c>
      <c r="J294" s="138" t="s">
        <v>572</v>
      </c>
      <c r="K294" s="138" t="s">
        <v>1223</v>
      </c>
      <c r="L294" s="138"/>
      <c r="M294" s="140" t="s">
        <v>2004</v>
      </c>
    </row>
    <row r="295" spans="1:13" ht="39.6" x14ac:dyDescent="0.25">
      <c r="A295" s="138" t="s">
        <v>375</v>
      </c>
      <c r="B295" s="138" t="s">
        <v>381</v>
      </c>
      <c r="C295" s="138" t="s">
        <v>2180</v>
      </c>
      <c r="D295" s="138" t="s">
        <v>95</v>
      </c>
      <c r="E295" s="138" t="s">
        <v>2181</v>
      </c>
      <c r="F295" s="138" t="s">
        <v>97</v>
      </c>
      <c r="G295" s="139">
        <v>45980</v>
      </c>
      <c r="H295" s="139">
        <v>45988</v>
      </c>
      <c r="I295" s="139">
        <v>46021</v>
      </c>
      <c r="J295" s="138" t="s">
        <v>572</v>
      </c>
      <c r="K295" s="138" t="s">
        <v>1223</v>
      </c>
      <c r="L295" s="138"/>
      <c r="M295" s="140" t="s">
        <v>2004</v>
      </c>
    </row>
    <row r="296" spans="1:13" ht="39.6" x14ac:dyDescent="0.25">
      <c r="A296" s="138" t="s">
        <v>375</v>
      </c>
      <c r="B296" s="138" t="s">
        <v>381</v>
      </c>
      <c r="C296" s="138" t="s">
        <v>2182</v>
      </c>
      <c r="D296" s="138" t="s">
        <v>95</v>
      </c>
      <c r="E296" s="138" t="s">
        <v>2183</v>
      </c>
      <c r="F296" s="138" t="s">
        <v>97</v>
      </c>
      <c r="G296" s="139">
        <v>45980</v>
      </c>
      <c r="H296" s="139">
        <v>45981</v>
      </c>
      <c r="I296" s="139">
        <v>46021</v>
      </c>
      <c r="J296" s="138" t="s">
        <v>572</v>
      </c>
      <c r="K296" s="138" t="s">
        <v>1223</v>
      </c>
      <c r="L296" s="138"/>
      <c r="M296" s="140" t="s">
        <v>2004</v>
      </c>
    </row>
    <row r="297" spans="1:13" ht="39.6" x14ac:dyDescent="0.25">
      <c r="A297" s="138" t="s">
        <v>375</v>
      </c>
      <c r="B297" s="138" t="s">
        <v>381</v>
      </c>
      <c r="C297" s="138" t="s">
        <v>2184</v>
      </c>
      <c r="D297" s="138" t="s">
        <v>95</v>
      </c>
      <c r="E297" s="138" t="s">
        <v>2185</v>
      </c>
      <c r="F297" s="138" t="s">
        <v>97</v>
      </c>
      <c r="G297" s="139">
        <v>45980</v>
      </c>
      <c r="H297" s="139">
        <v>45988</v>
      </c>
      <c r="I297" s="139">
        <v>46021</v>
      </c>
      <c r="J297" s="138" t="s">
        <v>572</v>
      </c>
      <c r="K297" s="138" t="s">
        <v>1223</v>
      </c>
      <c r="L297" s="138"/>
      <c r="M297" s="140" t="s">
        <v>2004</v>
      </c>
    </row>
    <row r="298" spans="1:13" ht="39.6" x14ac:dyDescent="0.25">
      <c r="A298" s="138" t="s">
        <v>375</v>
      </c>
      <c r="B298" s="138" t="s">
        <v>381</v>
      </c>
      <c r="C298" s="138" t="s">
        <v>2186</v>
      </c>
      <c r="D298" s="138" t="s">
        <v>95</v>
      </c>
      <c r="E298" s="138" t="s">
        <v>2187</v>
      </c>
      <c r="F298" s="138" t="s">
        <v>97</v>
      </c>
      <c r="G298" s="139">
        <v>45980</v>
      </c>
      <c r="H298" s="139">
        <v>45988</v>
      </c>
      <c r="I298" s="139">
        <v>46021</v>
      </c>
      <c r="J298" s="138" t="s">
        <v>572</v>
      </c>
      <c r="K298" s="138" t="s">
        <v>1223</v>
      </c>
      <c r="L298" s="138"/>
      <c r="M298" s="140" t="s">
        <v>2004</v>
      </c>
    </row>
    <row r="299" spans="1:13" ht="39.6" x14ac:dyDescent="0.25">
      <c r="A299" s="138" t="s">
        <v>375</v>
      </c>
      <c r="B299" s="138" t="s">
        <v>381</v>
      </c>
      <c r="C299" s="138" t="s">
        <v>2188</v>
      </c>
      <c r="D299" s="138" t="s">
        <v>95</v>
      </c>
      <c r="E299" s="138" t="s">
        <v>2189</v>
      </c>
      <c r="F299" s="138" t="s">
        <v>97</v>
      </c>
      <c r="G299" s="139">
        <v>45980</v>
      </c>
      <c r="H299" s="139">
        <v>45988</v>
      </c>
      <c r="I299" s="139">
        <v>46021</v>
      </c>
      <c r="J299" s="138" t="s">
        <v>572</v>
      </c>
      <c r="K299" s="138" t="s">
        <v>1223</v>
      </c>
      <c r="L299" s="138"/>
      <c r="M299" s="140" t="s">
        <v>2004</v>
      </c>
    </row>
    <row r="300" spans="1:13" ht="39.6" x14ac:dyDescent="0.25">
      <c r="A300" s="138" t="s">
        <v>375</v>
      </c>
      <c r="B300" s="138" t="s">
        <v>381</v>
      </c>
      <c r="C300" s="138" t="s">
        <v>2190</v>
      </c>
      <c r="D300" s="138" t="s">
        <v>95</v>
      </c>
      <c r="E300" s="138" t="s">
        <v>2191</v>
      </c>
      <c r="F300" s="138" t="s">
        <v>97</v>
      </c>
      <c r="G300" s="139">
        <v>45980</v>
      </c>
      <c r="H300" s="139">
        <v>45988</v>
      </c>
      <c r="I300" s="139">
        <v>46021</v>
      </c>
      <c r="J300" s="138" t="s">
        <v>572</v>
      </c>
      <c r="K300" s="138" t="s">
        <v>1223</v>
      </c>
      <c r="L300" s="138"/>
      <c r="M300" s="140" t="s">
        <v>2004</v>
      </c>
    </row>
    <row r="301" spans="1:13" ht="39.6" x14ac:dyDescent="0.25">
      <c r="A301" s="138" t="s">
        <v>375</v>
      </c>
      <c r="B301" s="138" t="s">
        <v>381</v>
      </c>
      <c r="C301" s="138" t="s">
        <v>2192</v>
      </c>
      <c r="D301" s="138" t="s">
        <v>95</v>
      </c>
      <c r="E301" s="138" t="s">
        <v>2193</v>
      </c>
      <c r="F301" s="138" t="s">
        <v>97</v>
      </c>
      <c r="G301" s="139">
        <v>45980</v>
      </c>
      <c r="H301" s="139">
        <v>45988</v>
      </c>
      <c r="I301" s="139">
        <v>46021</v>
      </c>
      <c r="J301" s="138" t="s">
        <v>572</v>
      </c>
      <c r="K301" s="138" t="s">
        <v>1223</v>
      </c>
      <c r="L301" s="138"/>
      <c r="M301" s="140" t="s">
        <v>2004</v>
      </c>
    </row>
    <row r="302" spans="1:13" ht="39.6" x14ac:dyDescent="0.25">
      <c r="A302" s="138" t="s">
        <v>375</v>
      </c>
      <c r="B302" s="138" t="s">
        <v>381</v>
      </c>
      <c r="C302" s="138" t="s">
        <v>2194</v>
      </c>
      <c r="D302" s="138" t="s">
        <v>95</v>
      </c>
      <c r="E302" s="138" t="s">
        <v>2195</v>
      </c>
      <c r="F302" s="138" t="s">
        <v>97</v>
      </c>
      <c r="G302" s="139">
        <v>45980</v>
      </c>
      <c r="H302" s="139">
        <v>45988</v>
      </c>
      <c r="I302" s="139">
        <v>46021</v>
      </c>
      <c r="J302" s="138" t="s">
        <v>572</v>
      </c>
      <c r="K302" s="138" t="s">
        <v>1223</v>
      </c>
      <c r="L302" s="138"/>
      <c r="M302" s="140" t="s">
        <v>2004</v>
      </c>
    </row>
    <row r="303" spans="1:13" ht="39.6" x14ac:dyDescent="0.25">
      <c r="A303" s="138" t="s">
        <v>375</v>
      </c>
      <c r="B303" s="138" t="s">
        <v>381</v>
      </c>
      <c r="C303" s="138" t="s">
        <v>2196</v>
      </c>
      <c r="D303" s="138" t="s">
        <v>95</v>
      </c>
      <c r="E303" s="138" t="s">
        <v>2197</v>
      </c>
      <c r="F303" s="138" t="s">
        <v>97</v>
      </c>
      <c r="G303" s="139">
        <v>45980</v>
      </c>
      <c r="H303" s="139">
        <v>45988</v>
      </c>
      <c r="I303" s="139">
        <v>46021</v>
      </c>
      <c r="J303" s="138" t="s">
        <v>572</v>
      </c>
      <c r="K303" s="138" t="s">
        <v>1223</v>
      </c>
      <c r="L303" s="138"/>
      <c r="M303" s="140" t="s">
        <v>2004</v>
      </c>
    </row>
    <row r="304" spans="1:13" ht="39.6" x14ac:dyDescent="0.25">
      <c r="A304" s="138" t="s">
        <v>375</v>
      </c>
      <c r="B304" s="138" t="s">
        <v>381</v>
      </c>
      <c r="C304" s="138" t="s">
        <v>2198</v>
      </c>
      <c r="D304" s="138" t="s">
        <v>95</v>
      </c>
      <c r="E304" s="138" t="s">
        <v>2199</v>
      </c>
      <c r="F304" s="138" t="s">
        <v>97</v>
      </c>
      <c r="G304" s="139">
        <v>45980</v>
      </c>
      <c r="H304" s="139">
        <v>45988</v>
      </c>
      <c r="I304" s="139">
        <v>46021</v>
      </c>
      <c r="J304" s="138" t="s">
        <v>572</v>
      </c>
      <c r="K304" s="138" t="s">
        <v>1223</v>
      </c>
      <c r="L304" s="138"/>
      <c r="M304" s="140" t="s">
        <v>2004</v>
      </c>
    </row>
    <row r="305" spans="1:13" ht="39.6" x14ac:dyDescent="0.25">
      <c r="A305" s="138" t="s">
        <v>375</v>
      </c>
      <c r="B305" s="138" t="s">
        <v>381</v>
      </c>
      <c r="C305" s="138" t="s">
        <v>2200</v>
      </c>
      <c r="D305" s="138" t="s">
        <v>95</v>
      </c>
      <c r="E305" s="138" t="s">
        <v>2201</v>
      </c>
      <c r="F305" s="138" t="s">
        <v>97</v>
      </c>
      <c r="G305" s="139">
        <v>45980</v>
      </c>
      <c r="H305" s="139">
        <v>45988</v>
      </c>
      <c r="I305" s="139">
        <v>46021</v>
      </c>
      <c r="J305" s="138" t="s">
        <v>572</v>
      </c>
      <c r="K305" s="138" t="s">
        <v>1223</v>
      </c>
      <c r="L305" s="138"/>
      <c r="M305" s="140" t="s">
        <v>2004</v>
      </c>
    </row>
    <row r="306" spans="1:13" ht="39.6" x14ac:dyDescent="0.25">
      <c r="A306" s="138" t="s">
        <v>375</v>
      </c>
      <c r="B306" s="138" t="s">
        <v>381</v>
      </c>
      <c r="C306" s="138" t="s">
        <v>2202</v>
      </c>
      <c r="D306" s="138" t="s">
        <v>95</v>
      </c>
      <c r="E306" s="138" t="s">
        <v>2203</v>
      </c>
      <c r="F306" s="138" t="s">
        <v>97</v>
      </c>
      <c r="G306" s="139">
        <v>45980</v>
      </c>
      <c r="H306" s="139">
        <v>45988</v>
      </c>
      <c r="I306" s="139">
        <v>46021</v>
      </c>
      <c r="J306" s="138" t="s">
        <v>572</v>
      </c>
      <c r="K306" s="138" t="s">
        <v>1223</v>
      </c>
      <c r="L306" s="138"/>
      <c r="M306" s="140" t="s">
        <v>2004</v>
      </c>
    </row>
    <row r="307" spans="1:13" ht="39.6" x14ac:dyDescent="0.25">
      <c r="A307" s="138" t="s">
        <v>375</v>
      </c>
      <c r="B307" s="138" t="s">
        <v>381</v>
      </c>
      <c r="C307" s="138" t="s">
        <v>2204</v>
      </c>
      <c r="D307" s="138" t="s">
        <v>95</v>
      </c>
      <c r="E307" s="138" t="s">
        <v>2205</v>
      </c>
      <c r="F307" s="138" t="s">
        <v>97</v>
      </c>
      <c r="G307" s="139">
        <v>45980</v>
      </c>
      <c r="H307" s="139">
        <v>45988</v>
      </c>
      <c r="I307" s="139">
        <v>46021</v>
      </c>
      <c r="J307" s="138" t="s">
        <v>572</v>
      </c>
      <c r="K307" s="138" t="s">
        <v>1223</v>
      </c>
      <c r="L307" s="138"/>
      <c r="M307" s="140" t="s">
        <v>2004</v>
      </c>
    </row>
    <row r="308" spans="1:13" hidden="1" x14ac:dyDescent="0.25">
      <c r="A308" s="1" t="s">
        <v>51</v>
      </c>
      <c r="B308" s="1" t="s">
        <v>82</v>
      </c>
      <c r="C308" s="1" t="s">
        <v>2206</v>
      </c>
      <c r="D308" s="1" t="s">
        <v>95</v>
      </c>
      <c r="E308" s="1" t="s">
        <v>2207</v>
      </c>
      <c r="F308" s="1" t="s">
        <v>99</v>
      </c>
      <c r="G308" s="134">
        <v>45980</v>
      </c>
      <c r="H308" s="134">
        <v>45968</v>
      </c>
      <c r="I308" s="134">
        <v>46003</v>
      </c>
      <c r="J308" s="1" t="s">
        <v>2111</v>
      </c>
      <c r="K308" s="1" t="s">
        <v>2208</v>
      </c>
      <c r="L308" s="1"/>
      <c r="M308" s="1"/>
    </row>
    <row r="309" spans="1:13" ht="39.6" x14ac:dyDescent="0.25">
      <c r="A309" s="138" t="s">
        <v>375</v>
      </c>
      <c r="B309" s="138" t="s">
        <v>381</v>
      </c>
      <c r="C309" s="138" t="s">
        <v>2209</v>
      </c>
      <c r="D309" s="138" t="s">
        <v>95</v>
      </c>
      <c r="E309" s="138" t="s">
        <v>2210</v>
      </c>
      <c r="F309" s="138" t="s">
        <v>97</v>
      </c>
      <c r="G309" s="139">
        <v>45980</v>
      </c>
      <c r="H309" s="139">
        <v>45982</v>
      </c>
      <c r="I309" s="139">
        <v>45989</v>
      </c>
      <c r="J309" s="138" t="s">
        <v>540</v>
      </c>
      <c r="K309" s="138" t="s">
        <v>893</v>
      </c>
      <c r="L309" s="138"/>
      <c r="M309" s="140" t="s">
        <v>2004</v>
      </c>
    </row>
    <row r="310" spans="1:13" ht="39.6" x14ac:dyDescent="0.25">
      <c r="A310" s="138" t="s">
        <v>375</v>
      </c>
      <c r="B310" s="138" t="s">
        <v>381</v>
      </c>
      <c r="C310" s="138" t="s">
        <v>2211</v>
      </c>
      <c r="D310" s="138" t="s">
        <v>95</v>
      </c>
      <c r="E310" s="138" t="s">
        <v>2212</v>
      </c>
      <c r="F310" s="138" t="s">
        <v>97</v>
      </c>
      <c r="G310" s="139">
        <v>45980</v>
      </c>
      <c r="H310" s="139">
        <v>45982</v>
      </c>
      <c r="I310" s="139">
        <v>45989</v>
      </c>
      <c r="J310" s="138" t="s">
        <v>540</v>
      </c>
      <c r="K310" s="138" t="s">
        <v>893</v>
      </c>
      <c r="L310" s="138"/>
      <c r="M310" s="140" t="s">
        <v>2004</v>
      </c>
    </row>
    <row r="311" spans="1:13" ht="39.6" x14ac:dyDescent="0.25">
      <c r="A311" s="138" t="s">
        <v>375</v>
      </c>
      <c r="B311" s="138" t="s">
        <v>381</v>
      </c>
      <c r="C311" s="138" t="s">
        <v>2213</v>
      </c>
      <c r="D311" s="138" t="s">
        <v>95</v>
      </c>
      <c r="E311" s="138" t="s">
        <v>2214</v>
      </c>
      <c r="F311" s="138" t="s">
        <v>97</v>
      </c>
      <c r="G311" s="139">
        <v>45980</v>
      </c>
      <c r="H311" s="139">
        <v>45982</v>
      </c>
      <c r="I311" s="139">
        <v>45989</v>
      </c>
      <c r="J311" s="138" t="s">
        <v>540</v>
      </c>
      <c r="K311" s="138" t="s">
        <v>893</v>
      </c>
      <c r="L311" s="138"/>
      <c r="M311" s="140" t="s">
        <v>2004</v>
      </c>
    </row>
    <row r="312" spans="1:13" ht="39.6" x14ac:dyDescent="0.25">
      <c r="A312" s="138" t="s">
        <v>375</v>
      </c>
      <c r="B312" s="138" t="s">
        <v>381</v>
      </c>
      <c r="C312" s="138" t="s">
        <v>2215</v>
      </c>
      <c r="D312" s="138" t="s">
        <v>95</v>
      </c>
      <c r="E312" s="138" t="s">
        <v>2216</v>
      </c>
      <c r="F312" s="138" t="s">
        <v>97</v>
      </c>
      <c r="G312" s="139">
        <v>45980</v>
      </c>
      <c r="H312" s="139">
        <v>45982</v>
      </c>
      <c r="I312" s="139">
        <v>45989</v>
      </c>
      <c r="J312" s="138" t="s">
        <v>540</v>
      </c>
      <c r="K312" s="138" t="s">
        <v>893</v>
      </c>
      <c r="L312" s="138"/>
      <c r="M312" s="140" t="s">
        <v>2004</v>
      </c>
    </row>
    <row r="313" spans="1:13" ht="39.6" x14ac:dyDescent="0.25">
      <c r="A313" s="138" t="s">
        <v>375</v>
      </c>
      <c r="B313" s="138" t="s">
        <v>381</v>
      </c>
      <c r="C313" s="138" t="s">
        <v>2217</v>
      </c>
      <c r="D313" s="138" t="s">
        <v>95</v>
      </c>
      <c r="E313" s="138" t="s">
        <v>2218</v>
      </c>
      <c r="F313" s="138" t="s">
        <v>97</v>
      </c>
      <c r="G313" s="139">
        <v>45980</v>
      </c>
      <c r="H313" s="139">
        <v>45982</v>
      </c>
      <c r="I313" s="139">
        <v>45989</v>
      </c>
      <c r="J313" s="138" t="s">
        <v>540</v>
      </c>
      <c r="K313" s="138" t="s">
        <v>893</v>
      </c>
      <c r="L313" s="138"/>
      <c r="M313" s="140" t="s">
        <v>2004</v>
      </c>
    </row>
    <row r="314" spans="1:13" ht="39.6" x14ac:dyDescent="0.25">
      <c r="A314" s="138" t="s">
        <v>375</v>
      </c>
      <c r="B314" s="138" t="s">
        <v>381</v>
      </c>
      <c r="C314" s="138" t="s">
        <v>2219</v>
      </c>
      <c r="D314" s="138" t="s">
        <v>95</v>
      </c>
      <c r="E314" s="138" t="s">
        <v>2220</v>
      </c>
      <c r="F314" s="138" t="s">
        <v>97</v>
      </c>
      <c r="G314" s="139">
        <v>45980</v>
      </c>
      <c r="H314" s="139">
        <v>45982</v>
      </c>
      <c r="I314" s="139">
        <v>45989</v>
      </c>
      <c r="J314" s="138" t="s">
        <v>540</v>
      </c>
      <c r="K314" s="138" t="s">
        <v>893</v>
      </c>
      <c r="L314" s="138"/>
      <c r="M314" s="140" t="s">
        <v>2004</v>
      </c>
    </row>
    <row r="315" spans="1:13" ht="39.6" x14ac:dyDescent="0.25">
      <c r="A315" s="138" t="s">
        <v>375</v>
      </c>
      <c r="B315" s="138" t="s">
        <v>381</v>
      </c>
      <c r="C315" s="138" t="s">
        <v>2221</v>
      </c>
      <c r="D315" s="138" t="s">
        <v>95</v>
      </c>
      <c r="E315" s="138" t="s">
        <v>2222</v>
      </c>
      <c r="F315" s="138" t="s">
        <v>97</v>
      </c>
      <c r="G315" s="139">
        <v>45980</v>
      </c>
      <c r="H315" s="139">
        <v>45982</v>
      </c>
      <c r="I315" s="139">
        <v>45989</v>
      </c>
      <c r="J315" s="138" t="s">
        <v>540</v>
      </c>
      <c r="K315" s="138" t="s">
        <v>893</v>
      </c>
      <c r="L315" s="138"/>
      <c r="M315" s="140" t="s">
        <v>2004</v>
      </c>
    </row>
    <row r="316" spans="1:13" ht="39.6" x14ac:dyDescent="0.25">
      <c r="A316" s="138" t="s">
        <v>375</v>
      </c>
      <c r="B316" s="138" t="s">
        <v>381</v>
      </c>
      <c r="C316" s="138" t="s">
        <v>2223</v>
      </c>
      <c r="D316" s="138" t="s">
        <v>95</v>
      </c>
      <c r="E316" s="138" t="s">
        <v>2224</v>
      </c>
      <c r="F316" s="138" t="s">
        <v>97</v>
      </c>
      <c r="G316" s="139">
        <v>45980</v>
      </c>
      <c r="H316" s="139">
        <v>45982</v>
      </c>
      <c r="I316" s="139">
        <v>45989</v>
      </c>
      <c r="J316" s="138" t="s">
        <v>540</v>
      </c>
      <c r="K316" s="138" t="s">
        <v>893</v>
      </c>
      <c r="L316" s="138"/>
      <c r="M316" s="140" t="s">
        <v>2004</v>
      </c>
    </row>
    <row r="317" spans="1:13" ht="39.6" x14ac:dyDescent="0.25">
      <c r="A317" s="138" t="s">
        <v>375</v>
      </c>
      <c r="B317" s="138" t="s">
        <v>381</v>
      </c>
      <c r="C317" s="138" t="s">
        <v>2225</v>
      </c>
      <c r="D317" s="138" t="s">
        <v>95</v>
      </c>
      <c r="E317" s="138" t="s">
        <v>2226</v>
      </c>
      <c r="F317" s="138" t="s">
        <v>97</v>
      </c>
      <c r="G317" s="139">
        <v>45980</v>
      </c>
      <c r="H317" s="139">
        <v>45982</v>
      </c>
      <c r="I317" s="139">
        <v>45989</v>
      </c>
      <c r="J317" s="138" t="s">
        <v>540</v>
      </c>
      <c r="K317" s="138" t="s">
        <v>893</v>
      </c>
      <c r="L317" s="138"/>
      <c r="M317" s="140" t="s">
        <v>2004</v>
      </c>
    </row>
    <row r="318" spans="1:13" ht="39.6" x14ac:dyDescent="0.25">
      <c r="A318" s="138" t="s">
        <v>375</v>
      </c>
      <c r="B318" s="138" t="s">
        <v>381</v>
      </c>
      <c r="C318" s="138" t="s">
        <v>2227</v>
      </c>
      <c r="D318" s="138" t="s">
        <v>95</v>
      </c>
      <c r="E318" s="138" t="s">
        <v>2228</v>
      </c>
      <c r="F318" s="138" t="s">
        <v>97</v>
      </c>
      <c r="G318" s="139">
        <v>45980</v>
      </c>
      <c r="H318" s="139">
        <v>45982</v>
      </c>
      <c r="I318" s="139">
        <v>45989</v>
      </c>
      <c r="J318" s="138" t="s">
        <v>540</v>
      </c>
      <c r="K318" s="138" t="s">
        <v>893</v>
      </c>
      <c r="L318" s="138"/>
      <c r="M318" s="140" t="s">
        <v>2004</v>
      </c>
    </row>
    <row r="319" spans="1:13" ht="39.6" x14ac:dyDescent="0.25">
      <c r="A319" s="138" t="s">
        <v>375</v>
      </c>
      <c r="B319" s="138" t="s">
        <v>381</v>
      </c>
      <c r="C319" s="138" t="s">
        <v>2229</v>
      </c>
      <c r="D319" s="138" t="s">
        <v>95</v>
      </c>
      <c r="E319" s="138" t="s">
        <v>2230</v>
      </c>
      <c r="F319" s="138" t="s">
        <v>97</v>
      </c>
      <c r="G319" s="139">
        <v>45980</v>
      </c>
      <c r="H319" s="139">
        <v>45982</v>
      </c>
      <c r="I319" s="139">
        <v>45989</v>
      </c>
      <c r="J319" s="138" t="s">
        <v>540</v>
      </c>
      <c r="K319" s="138" t="s">
        <v>893</v>
      </c>
      <c r="L319" s="138"/>
      <c r="M319" s="140" t="s">
        <v>2004</v>
      </c>
    </row>
    <row r="320" spans="1:13" ht="39.6" x14ac:dyDescent="0.25">
      <c r="A320" s="138" t="s">
        <v>375</v>
      </c>
      <c r="B320" s="138" t="s">
        <v>381</v>
      </c>
      <c r="C320" s="138" t="s">
        <v>2231</v>
      </c>
      <c r="D320" s="138" t="s">
        <v>95</v>
      </c>
      <c r="E320" s="138" t="s">
        <v>2232</v>
      </c>
      <c r="F320" s="138" t="s">
        <v>97</v>
      </c>
      <c r="G320" s="139">
        <v>45980</v>
      </c>
      <c r="H320" s="139">
        <v>45982</v>
      </c>
      <c r="I320" s="139">
        <v>45989</v>
      </c>
      <c r="J320" s="138" t="s">
        <v>540</v>
      </c>
      <c r="K320" s="138" t="s">
        <v>893</v>
      </c>
      <c r="L320" s="138"/>
      <c r="M320" s="140" t="s">
        <v>2004</v>
      </c>
    </row>
    <row r="321" spans="1:13" hidden="1" x14ac:dyDescent="0.25">
      <c r="A321" s="1" t="s">
        <v>380</v>
      </c>
      <c r="B321" s="1" t="s">
        <v>1602</v>
      </c>
      <c r="C321" s="1" t="s">
        <v>2233</v>
      </c>
      <c r="D321" s="1" t="s">
        <v>658</v>
      </c>
      <c r="E321" s="1" t="s">
        <v>2234</v>
      </c>
      <c r="F321" s="1" t="s">
        <v>99</v>
      </c>
      <c r="G321" s="134">
        <v>45981</v>
      </c>
      <c r="H321" s="134">
        <v>45982</v>
      </c>
      <c r="I321" s="134">
        <v>45989</v>
      </c>
      <c r="J321" s="1" t="s">
        <v>587</v>
      </c>
      <c r="K321" s="1" t="s">
        <v>888</v>
      </c>
      <c r="L321" s="1"/>
      <c r="M321" s="1"/>
    </row>
    <row r="322" spans="1:13" hidden="1" x14ac:dyDescent="0.25">
      <c r="A322" s="1" t="s">
        <v>380</v>
      </c>
      <c r="B322" s="1" t="s">
        <v>1602</v>
      </c>
      <c r="C322" s="1" t="s">
        <v>2235</v>
      </c>
      <c r="D322" s="1" t="s">
        <v>95</v>
      </c>
      <c r="E322" s="1" t="s">
        <v>2236</v>
      </c>
      <c r="F322" s="1" t="s">
        <v>99</v>
      </c>
      <c r="G322" s="134">
        <v>45981</v>
      </c>
      <c r="H322" s="134">
        <v>45982</v>
      </c>
      <c r="I322" s="134">
        <v>45989</v>
      </c>
      <c r="J322" s="1" t="s">
        <v>587</v>
      </c>
      <c r="K322" s="1" t="s">
        <v>888</v>
      </c>
      <c r="L322" s="1"/>
      <c r="M322" s="1"/>
    </row>
    <row r="323" spans="1:13" ht="39.6" x14ac:dyDescent="0.25">
      <c r="A323" s="138" t="s">
        <v>375</v>
      </c>
      <c r="B323" s="138" t="s">
        <v>535</v>
      </c>
      <c r="C323" s="138" t="s">
        <v>2237</v>
      </c>
      <c r="D323" s="138" t="s">
        <v>95</v>
      </c>
      <c r="E323" s="138" t="s">
        <v>2238</v>
      </c>
      <c r="F323" s="138" t="s">
        <v>97</v>
      </c>
      <c r="G323" s="139">
        <v>45982</v>
      </c>
      <c r="H323" s="139">
        <v>45982</v>
      </c>
      <c r="I323" s="139">
        <v>46022</v>
      </c>
      <c r="J323" s="138" t="s">
        <v>540</v>
      </c>
      <c r="K323" s="138" t="s">
        <v>893</v>
      </c>
      <c r="L323" s="138"/>
      <c r="M323" s="140" t="s">
        <v>2004</v>
      </c>
    </row>
    <row r="324" spans="1:13" ht="39.6" x14ac:dyDescent="0.25">
      <c r="A324" s="138" t="s">
        <v>375</v>
      </c>
      <c r="B324" s="138" t="s">
        <v>535</v>
      </c>
      <c r="C324" s="138" t="s">
        <v>2239</v>
      </c>
      <c r="D324" s="138" t="s">
        <v>95</v>
      </c>
      <c r="E324" s="138" t="s">
        <v>2240</v>
      </c>
      <c r="F324" s="138" t="s">
        <v>97</v>
      </c>
      <c r="G324" s="139">
        <v>45982</v>
      </c>
      <c r="H324" s="139">
        <v>45982</v>
      </c>
      <c r="I324" s="139">
        <v>46022</v>
      </c>
      <c r="J324" s="138" t="s">
        <v>540</v>
      </c>
      <c r="K324" s="138" t="s">
        <v>893</v>
      </c>
      <c r="L324" s="138"/>
      <c r="M324" s="140" t="s">
        <v>2004</v>
      </c>
    </row>
    <row r="325" spans="1:13" ht="39.6" x14ac:dyDescent="0.25">
      <c r="A325" s="138" t="s">
        <v>375</v>
      </c>
      <c r="B325" s="138" t="s">
        <v>535</v>
      </c>
      <c r="C325" s="138" t="s">
        <v>2241</v>
      </c>
      <c r="D325" s="138" t="s">
        <v>95</v>
      </c>
      <c r="E325" s="138" t="s">
        <v>2242</v>
      </c>
      <c r="F325" s="138" t="s">
        <v>97</v>
      </c>
      <c r="G325" s="139">
        <v>45982</v>
      </c>
      <c r="H325" s="139">
        <v>45982</v>
      </c>
      <c r="I325" s="139">
        <v>46022</v>
      </c>
      <c r="J325" s="138" t="s">
        <v>540</v>
      </c>
      <c r="K325" s="138" t="s">
        <v>893</v>
      </c>
      <c r="L325" s="138"/>
      <c r="M325" s="140" t="s">
        <v>2004</v>
      </c>
    </row>
    <row r="326" spans="1:13" ht="39.6" x14ac:dyDescent="0.25">
      <c r="A326" s="138" t="s">
        <v>375</v>
      </c>
      <c r="B326" s="138" t="s">
        <v>535</v>
      </c>
      <c r="C326" s="138" t="s">
        <v>2243</v>
      </c>
      <c r="D326" s="138" t="s">
        <v>95</v>
      </c>
      <c r="E326" s="138" t="s">
        <v>2244</v>
      </c>
      <c r="F326" s="138" t="s">
        <v>97</v>
      </c>
      <c r="G326" s="139">
        <v>45982</v>
      </c>
      <c r="H326" s="139">
        <v>45982</v>
      </c>
      <c r="I326" s="139">
        <v>46022</v>
      </c>
      <c r="J326" s="138" t="s">
        <v>540</v>
      </c>
      <c r="K326" s="138" t="s">
        <v>893</v>
      </c>
      <c r="L326" s="138"/>
      <c r="M326" s="140" t="s">
        <v>2004</v>
      </c>
    </row>
    <row r="327" spans="1:13" ht="39.6" x14ac:dyDescent="0.25">
      <c r="A327" s="138" t="s">
        <v>375</v>
      </c>
      <c r="B327" s="138" t="s">
        <v>535</v>
      </c>
      <c r="C327" s="138" t="s">
        <v>2245</v>
      </c>
      <c r="D327" s="138" t="s">
        <v>95</v>
      </c>
      <c r="E327" s="138" t="s">
        <v>2246</v>
      </c>
      <c r="F327" s="138" t="s">
        <v>97</v>
      </c>
      <c r="G327" s="139">
        <v>45982</v>
      </c>
      <c r="H327" s="139">
        <v>45982</v>
      </c>
      <c r="I327" s="139">
        <v>46022</v>
      </c>
      <c r="J327" s="138" t="s">
        <v>540</v>
      </c>
      <c r="K327" s="138" t="s">
        <v>893</v>
      </c>
      <c r="L327" s="138"/>
      <c r="M327" s="140" t="s">
        <v>2004</v>
      </c>
    </row>
  </sheetData>
  <autoFilter ref="A2:M327" xr:uid="{00000000-0001-0000-0400-000000000000}">
    <filterColumn colId="12">
      <customFilters>
        <customFilter operator="notEqual" val=" "/>
      </customFilters>
    </filterColumn>
  </autoFilter>
  <mergeCells count="1">
    <mergeCell ref="A1:G1"/>
  </mergeCells>
  <pageMargins left="0.7" right="0.7" top="0.75" bottom="0.75" header="0.3" footer="0.3"/>
  <pageSetup orientation="portrait" horizontalDpi="300" verticalDpi="4294967295"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filterMode="1">
    <tabColor theme="9" tint="-0.249977111117893"/>
  </sheetPr>
  <dimension ref="A1:L214"/>
  <sheetViews>
    <sheetView zoomScale="70" zoomScaleNormal="70" workbookViewId="0">
      <selection activeCell="E195" sqref="E195"/>
    </sheetView>
  </sheetViews>
  <sheetFormatPr defaultColWidth="9.33203125" defaultRowHeight="13.2" x14ac:dyDescent="0.25"/>
  <cols>
    <col min="1" max="1" width="64" customWidth="1"/>
    <col min="2" max="2" width="15.6640625" bestFit="1" customWidth="1"/>
    <col min="3" max="3" width="9.5546875" customWidth="1"/>
    <col min="4" max="4" width="112.5546875" customWidth="1"/>
    <col min="5" max="5" width="13" bestFit="1" customWidth="1"/>
    <col min="6" max="6" width="17" hidden="1" customWidth="1"/>
    <col min="7" max="7" width="18.33203125" bestFit="1" customWidth="1"/>
    <col min="8" max="8" width="33.33203125" bestFit="1" customWidth="1"/>
    <col min="9" max="9" width="57.5546875" hidden="1" customWidth="1"/>
    <col min="10" max="10" width="72.88671875" hidden="1" customWidth="1"/>
    <col min="11" max="11" width="39" bestFit="1" customWidth="1"/>
  </cols>
  <sheetData>
    <row r="1" spans="1:12" ht="29.25" customHeight="1" x14ac:dyDescent="0.4">
      <c r="A1" s="205" t="s">
        <v>100</v>
      </c>
      <c r="B1" s="205"/>
      <c r="C1" s="205"/>
      <c r="D1" s="205"/>
      <c r="E1" s="205"/>
      <c r="F1" s="205"/>
      <c r="G1" s="205"/>
      <c r="H1" s="108" t="s">
        <v>54</v>
      </c>
      <c r="I1" s="109">
        <v>45985.446111111109</v>
      </c>
      <c r="J1" s="108" t="s">
        <v>101</v>
      </c>
      <c r="K1" s="130">
        <v>212</v>
      </c>
      <c r="L1" s="107"/>
    </row>
    <row r="2" spans="1:12" ht="15.6" x14ac:dyDescent="0.3">
      <c r="A2" s="110" t="s">
        <v>46</v>
      </c>
      <c r="B2" s="110" t="s">
        <v>92</v>
      </c>
      <c r="C2" s="110" t="s">
        <v>66</v>
      </c>
      <c r="D2" s="110" t="s">
        <v>59</v>
      </c>
      <c r="E2" s="110" t="s">
        <v>58</v>
      </c>
      <c r="F2" s="110" t="s">
        <v>61</v>
      </c>
      <c r="G2" s="110" t="s">
        <v>94</v>
      </c>
      <c r="H2" s="110" t="s">
        <v>8</v>
      </c>
      <c r="I2" s="110" t="s">
        <v>60</v>
      </c>
      <c r="J2" s="110" t="s">
        <v>67</v>
      </c>
      <c r="K2" s="110" t="s">
        <v>78</v>
      </c>
    </row>
    <row r="3" spans="1:12" hidden="1" x14ac:dyDescent="0.25">
      <c r="A3" s="1" t="s">
        <v>51</v>
      </c>
      <c r="B3" s="1" t="s">
        <v>1874</v>
      </c>
      <c r="C3" s="1" t="s">
        <v>106</v>
      </c>
      <c r="D3" s="1" t="s">
        <v>1875</v>
      </c>
      <c r="E3" s="1" t="s">
        <v>98</v>
      </c>
      <c r="F3" s="134">
        <v>45352</v>
      </c>
      <c r="G3" s="134">
        <v>46813</v>
      </c>
      <c r="H3" s="1" t="s">
        <v>457</v>
      </c>
      <c r="I3" s="1" t="s">
        <v>1876</v>
      </c>
      <c r="J3" s="1" t="s">
        <v>1877</v>
      </c>
      <c r="K3" s="1"/>
    </row>
    <row r="4" spans="1:12" hidden="1" x14ac:dyDescent="0.25">
      <c r="A4" s="1" t="s">
        <v>51</v>
      </c>
      <c r="B4" s="1" t="s">
        <v>1878</v>
      </c>
      <c r="C4" s="1" t="s">
        <v>106</v>
      </c>
      <c r="D4" s="1" t="s">
        <v>1879</v>
      </c>
      <c r="E4" s="1" t="s">
        <v>98</v>
      </c>
      <c r="F4" s="134">
        <v>45352</v>
      </c>
      <c r="G4" s="134">
        <v>46813</v>
      </c>
      <c r="H4" s="1" t="s">
        <v>457</v>
      </c>
      <c r="I4" s="1" t="s">
        <v>1876</v>
      </c>
      <c r="J4" s="1" t="s">
        <v>1877</v>
      </c>
      <c r="K4" s="1"/>
    </row>
    <row r="5" spans="1:12" hidden="1" x14ac:dyDescent="0.25">
      <c r="A5" s="1" t="s">
        <v>51</v>
      </c>
      <c r="B5" s="1" t="s">
        <v>899</v>
      </c>
      <c r="C5" s="1" t="s">
        <v>106</v>
      </c>
      <c r="D5" s="1" t="s">
        <v>900</v>
      </c>
      <c r="E5" s="1" t="s">
        <v>96</v>
      </c>
      <c r="F5" s="134">
        <v>45393</v>
      </c>
      <c r="G5" s="134">
        <v>46022</v>
      </c>
      <c r="H5" s="1" t="s">
        <v>439</v>
      </c>
      <c r="I5" s="1" t="s">
        <v>901</v>
      </c>
      <c r="J5" s="1" t="s">
        <v>85</v>
      </c>
      <c r="K5" s="1"/>
    </row>
    <row r="6" spans="1:12" hidden="1" x14ac:dyDescent="0.25">
      <c r="A6" s="1" t="s">
        <v>51</v>
      </c>
      <c r="B6" s="1" t="s">
        <v>902</v>
      </c>
      <c r="C6" s="1" t="s">
        <v>106</v>
      </c>
      <c r="D6" s="1" t="s">
        <v>903</v>
      </c>
      <c r="E6" s="1" t="s">
        <v>96</v>
      </c>
      <c r="F6" s="134">
        <v>45393</v>
      </c>
      <c r="G6" s="1"/>
      <c r="H6" s="1" t="s">
        <v>439</v>
      </c>
      <c r="I6" s="1" t="s">
        <v>901</v>
      </c>
      <c r="J6" s="1" t="s">
        <v>85</v>
      </c>
      <c r="K6" s="1"/>
    </row>
    <row r="7" spans="1:12" hidden="1" x14ac:dyDescent="0.25">
      <c r="A7" s="1" t="s">
        <v>51</v>
      </c>
      <c r="B7" s="1" t="s">
        <v>904</v>
      </c>
      <c r="C7" s="1" t="s">
        <v>106</v>
      </c>
      <c r="D7" s="1" t="s">
        <v>905</v>
      </c>
      <c r="E7" s="1" t="s">
        <v>107</v>
      </c>
      <c r="F7" s="134">
        <v>45393</v>
      </c>
      <c r="G7" s="134">
        <v>46022</v>
      </c>
      <c r="H7" s="1" t="s">
        <v>439</v>
      </c>
      <c r="I7" s="1" t="s">
        <v>86</v>
      </c>
      <c r="J7" s="1" t="s">
        <v>85</v>
      </c>
      <c r="K7" s="1"/>
    </row>
    <row r="8" spans="1:12" hidden="1" x14ac:dyDescent="0.25">
      <c r="A8" s="1" t="s">
        <v>51</v>
      </c>
      <c r="B8" s="1" t="s">
        <v>906</v>
      </c>
      <c r="C8" s="1" t="s">
        <v>103</v>
      </c>
      <c r="D8" s="1" t="s">
        <v>907</v>
      </c>
      <c r="E8" s="1" t="s">
        <v>96</v>
      </c>
      <c r="F8" s="134">
        <v>45439</v>
      </c>
      <c r="G8" s="134">
        <v>45868</v>
      </c>
      <c r="H8" s="1" t="s">
        <v>432</v>
      </c>
      <c r="I8" s="1" t="s">
        <v>108</v>
      </c>
      <c r="J8" s="1" t="s">
        <v>385</v>
      </c>
      <c r="K8" s="1"/>
    </row>
    <row r="9" spans="1:12" hidden="1" x14ac:dyDescent="0.25">
      <c r="A9" s="1" t="s">
        <v>51</v>
      </c>
      <c r="B9" s="1" t="s">
        <v>908</v>
      </c>
      <c r="C9" s="1" t="s">
        <v>102</v>
      </c>
      <c r="D9" s="1" t="s">
        <v>909</v>
      </c>
      <c r="E9" s="1" t="s">
        <v>98</v>
      </c>
      <c r="F9" s="134">
        <v>45439</v>
      </c>
      <c r="G9" s="1"/>
      <c r="H9" s="1" t="s">
        <v>432</v>
      </c>
      <c r="I9" s="1" t="s">
        <v>108</v>
      </c>
      <c r="J9" s="1" t="s">
        <v>385</v>
      </c>
      <c r="K9" s="1"/>
    </row>
    <row r="10" spans="1:12" hidden="1" x14ac:dyDescent="0.25">
      <c r="A10" s="1" t="s">
        <v>51</v>
      </c>
      <c r="B10" s="1" t="s">
        <v>910</v>
      </c>
      <c r="C10" s="1" t="s">
        <v>102</v>
      </c>
      <c r="D10" s="1" t="s">
        <v>911</v>
      </c>
      <c r="E10" s="1" t="s">
        <v>96</v>
      </c>
      <c r="F10" s="134">
        <v>45448</v>
      </c>
      <c r="G10" s="134">
        <v>45556</v>
      </c>
      <c r="H10" s="1" t="s">
        <v>432</v>
      </c>
      <c r="I10" s="1" t="s">
        <v>108</v>
      </c>
      <c r="J10" s="1" t="s">
        <v>385</v>
      </c>
      <c r="K10" s="1"/>
    </row>
    <row r="11" spans="1:12" hidden="1" x14ac:dyDescent="0.25">
      <c r="A11" s="1" t="s">
        <v>51</v>
      </c>
      <c r="B11" s="1" t="s">
        <v>912</v>
      </c>
      <c r="C11" s="1" t="s">
        <v>102</v>
      </c>
      <c r="D11" s="1" t="s">
        <v>913</v>
      </c>
      <c r="E11" s="1" t="s">
        <v>98</v>
      </c>
      <c r="F11" s="134">
        <v>45448</v>
      </c>
      <c r="G11" s="1"/>
      <c r="H11" s="1" t="s">
        <v>432</v>
      </c>
      <c r="I11" s="1" t="s">
        <v>108</v>
      </c>
      <c r="J11" s="1" t="s">
        <v>385</v>
      </c>
      <c r="K11" s="1"/>
    </row>
    <row r="12" spans="1:12" hidden="1" x14ac:dyDescent="0.25">
      <c r="A12" s="1" t="s">
        <v>51</v>
      </c>
      <c r="B12" s="1" t="s">
        <v>915</v>
      </c>
      <c r="C12" s="1" t="s">
        <v>102</v>
      </c>
      <c r="D12" s="1" t="s">
        <v>916</v>
      </c>
      <c r="E12" s="1" t="s">
        <v>98</v>
      </c>
      <c r="F12" s="134">
        <v>45548</v>
      </c>
      <c r="G12" s="1"/>
      <c r="H12" s="1" t="s">
        <v>453</v>
      </c>
      <c r="I12" s="1" t="s">
        <v>108</v>
      </c>
      <c r="J12" s="1" t="s">
        <v>370</v>
      </c>
      <c r="K12" s="1"/>
    </row>
    <row r="13" spans="1:12" hidden="1" x14ac:dyDescent="0.25">
      <c r="A13" s="1" t="s">
        <v>51</v>
      </c>
      <c r="B13" s="1" t="s">
        <v>917</v>
      </c>
      <c r="C13" s="1" t="s">
        <v>105</v>
      </c>
      <c r="D13" s="1" t="s">
        <v>918</v>
      </c>
      <c r="E13" s="1" t="s">
        <v>98</v>
      </c>
      <c r="F13" s="134">
        <v>45582</v>
      </c>
      <c r="G13" s="1"/>
      <c r="H13" s="1" t="s">
        <v>453</v>
      </c>
      <c r="I13" s="1" t="s">
        <v>108</v>
      </c>
      <c r="J13" s="1" t="s">
        <v>370</v>
      </c>
      <c r="K13" s="1"/>
    </row>
    <row r="14" spans="1:12" hidden="1" x14ac:dyDescent="0.25">
      <c r="A14" s="1" t="s">
        <v>51</v>
      </c>
      <c r="B14" s="1" t="s">
        <v>919</v>
      </c>
      <c r="C14" s="1" t="s">
        <v>103</v>
      </c>
      <c r="D14" s="1" t="s">
        <v>920</v>
      </c>
      <c r="E14" s="1" t="s">
        <v>98</v>
      </c>
      <c r="F14" s="134">
        <v>45582</v>
      </c>
      <c r="G14" s="1"/>
      <c r="H14" s="1" t="s">
        <v>577</v>
      </c>
      <c r="I14" s="1" t="s">
        <v>108</v>
      </c>
      <c r="J14" s="1" t="s">
        <v>370</v>
      </c>
      <c r="K14" s="1"/>
    </row>
    <row r="15" spans="1:12" hidden="1" x14ac:dyDescent="0.25">
      <c r="A15" s="1" t="s">
        <v>51</v>
      </c>
      <c r="B15" s="1" t="s">
        <v>921</v>
      </c>
      <c r="C15" s="1" t="s">
        <v>102</v>
      </c>
      <c r="D15" s="1" t="s">
        <v>922</v>
      </c>
      <c r="E15" s="1" t="s">
        <v>98</v>
      </c>
      <c r="F15" s="134">
        <v>45582</v>
      </c>
      <c r="G15" s="1"/>
      <c r="H15" s="1" t="s">
        <v>453</v>
      </c>
      <c r="I15" s="1" t="s">
        <v>108</v>
      </c>
      <c r="J15" s="1" t="s">
        <v>370</v>
      </c>
      <c r="K15" s="1"/>
    </row>
    <row r="16" spans="1:12" hidden="1" x14ac:dyDescent="0.25">
      <c r="A16" s="1" t="s">
        <v>51</v>
      </c>
      <c r="B16" s="1" t="s">
        <v>923</v>
      </c>
      <c r="C16" s="1" t="s">
        <v>102</v>
      </c>
      <c r="D16" s="1" t="s">
        <v>924</v>
      </c>
      <c r="E16" s="1" t="s">
        <v>98</v>
      </c>
      <c r="F16" s="134">
        <v>45702</v>
      </c>
      <c r="G16" s="1"/>
      <c r="H16" s="1" t="s">
        <v>543</v>
      </c>
      <c r="I16" s="1" t="s">
        <v>925</v>
      </c>
      <c r="J16" s="1" t="s">
        <v>357</v>
      </c>
      <c r="K16" s="1"/>
    </row>
    <row r="17" spans="1:11" hidden="1" x14ac:dyDescent="0.25">
      <c r="A17" s="1" t="s">
        <v>51</v>
      </c>
      <c r="B17" s="1" t="s">
        <v>926</v>
      </c>
      <c r="C17" s="1" t="s">
        <v>105</v>
      </c>
      <c r="D17" s="1" t="s">
        <v>927</v>
      </c>
      <c r="E17" s="1" t="s">
        <v>98</v>
      </c>
      <c r="F17" s="134">
        <v>45702</v>
      </c>
      <c r="G17" s="1"/>
      <c r="H17" s="1" t="s">
        <v>543</v>
      </c>
      <c r="I17" s="1" t="s">
        <v>925</v>
      </c>
      <c r="J17" s="1" t="s">
        <v>357</v>
      </c>
      <c r="K17" s="1"/>
    </row>
    <row r="18" spans="1:11" hidden="1" x14ac:dyDescent="0.25">
      <c r="A18" s="1" t="s">
        <v>51</v>
      </c>
      <c r="B18" s="1" t="s">
        <v>928</v>
      </c>
      <c r="C18" s="1" t="s">
        <v>103</v>
      </c>
      <c r="D18" s="1" t="s">
        <v>929</v>
      </c>
      <c r="E18" s="1" t="s">
        <v>98</v>
      </c>
      <c r="F18" s="134">
        <v>45702</v>
      </c>
      <c r="G18" s="1"/>
      <c r="H18" s="1" t="s">
        <v>543</v>
      </c>
      <c r="I18" s="1" t="s">
        <v>925</v>
      </c>
      <c r="J18" s="1" t="s">
        <v>357</v>
      </c>
      <c r="K18" s="1"/>
    </row>
    <row r="19" spans="1:11" hidden="1" x14ac:dyDescent="0.25">
      <c r="A19" s="1" t="s">
        <v>51</v>
      </c>
      <c r="B19" s="1" t="s">
        <v>930</v>
      </c>
      <c r="C19" s="1" t="s">
        <v>102</v>
      </c>
      <c r="D19" s="1" t="s">
        <v>931</v>
      </c>
      <c r="E19" s="1" t="s">
        <v>96</v>
      </c>
      <c r="F19" s="134">
        <v>45702</v>
      </c>
      <c r="G19" s="134">
        <v>45786</v>
      </c>
      <c r="H19" s="1" t="s">
        <v>457</v>
      </c>
      <c r="I19" s="1" t="s">
        <v>925</v>
      </c>
      <c r="J19" s="1" t="s">
        <v>357</v>
      </c>
      <c r="K19" s="1"/>
    </row>
    <row r="20" spans="1:11" hidden="1" x14ac:dyDescent="0.25">
      <c r="A20" s="1" t="s">
        <v>51</v>
      </c>
      <c r="B20" s="1" t="s">
        <v>1880</v>
      </c>
      <c r="C20" s="1" t="s">
        <v>103</v>
      </c>
      <c r="D20" s="1" t="s">
        <v>1881</v>
      </c>
      <c r="E20" s="1" t="s">
        <v>98</v>
      </c>
      <c r="F20" s="134">
        <v>45704</v>
      </c>
      <c r="G20" s="134">
        <v>45996</v>
      </c>
      <c r="H20" s="1" t="s">
        <v>447</v>
      </c>
      <c r="I20" s="1" t="s">
        <v>86</v>
      </c>
      <c r="J20" s="1" t="s">
        <v>85</v>
      </c>
      <c r="K20" s="1"/>
    </row>
    <row r="21" spans="1:11" hidden="1" x14ac:dyDescent="0.25">
      <c r="A21" s="1" t="s">
        <v>51</v>
      </c>
      <c r="B21" s="1" t="s">
        <v>372</v>
      </c>
      <c r="C21" s="1" t="s">
        <v>102</v>
      </c>
      <c r="D21" s="1" t="s">
        <v>373</v>
      </c>
      <c r="E21" s="1" t="s">
        <v>96</v>
      </c>
      <c r="F21" s="134">
        <v>45704</v>
      </c>
      <c r="G21" s="134">
        <v>45786</v>
      </c>
      <c r="H21" s="1" t="s">
        <v>387</v>
      </c>
      <c r="I21" s="1" t="s">
        <v>86</v>
      </c>
      <c r="J21" s="1" t="s">
        <v>85</v>
      </c>
      <c r="K21" s="1"/>
    </row>
    <row r="22" spans="1:11" hidden="1" x14ac:dyDescent="0.25">
      <c r="A22" s="1" t="s">
        <v>51</v>
      </c>
      <c r="B22" s="1" t="s">
        <v>932</v>
      </c>
      <c r="C22" s="1" t="s">
        <v>102</v>
      </c>
      <c r="D22" s="1" t="s">
        <v>933</v>
      </c>
      <c r="E22" s="1" t="s">
        <v>96</v>
      </c>
      <c r="F22" s="134">
        <v>45704</v>
      </c>
      <c r="G22" s="134">
        <v>45786</v>
      </c>
      <c r="H22" s="1" t="s">
        <v>447</v>
      </c>
      <c r="I22" s="1" t="s">
        <v>86</v>
      </c>
      <c r="J22" s="1" t="s">
        <v>85</v>
      </c>
      <c r="K22" s="1"/>
    </row>
    <row r="23" spans="1:11" ht="39.6" hidden="1" x14ac:dyDescent="0.25">
      <c r="A23" s="1" t="s">
        <v>51</v>
      </c>
      <c r="B23" s="1" t="s">
        <v>934</v>
      </c>
      <c r="C23" s="1" t="s">
        <v>103</v>
      </c>
      <c r="D23" s="1" t="s">
        <v>935</v>
      </c>
      <c r="E23" s="1" t="s">
        <v>98</v>
      </c>
      <c r="F23" s="134">
        <v>45714</v>
      </c>
      <c r="G23" s="1"/>
      <c r="H23" s="1" t="s">
        <v>432</v>
      </c>
      <c r="I23" s="1" t="s">
        <v>936</v>
      </c>
      <c r="J23" s="135" t="s">
        <v>937</v>
      </c>
      <c r="K23" s="1"/>
    </row>
    <row r="24" spans="1:11" ht="39.6" hidden="1" x14ac:dyDescent="0.25">
      <c r="A24" s="1" t="s">
        <v>51</v>
      </c>
      <c r="B24" s="1" t="s">
        <v>938</v>
      </c>
      <c r="C24" s="1" t="s">
        <v>102</v>
      </c>
      <c r="D24" s="1" t="s">
        <v>939</v>
      </c>
      <c r="E24" s="1" t="s">
        <v>98</v>
      </c>
      <c r="F24" s="134">
        <v>45714</v>
      </c>
      <c r="G24" s="1"/>
      <c r="H24" s="1" t="s">
        <v>443</v>
      </c>
      <c r="I24" s="1" t="s">
        <v>936</v>
      </c>
      <c r="J24" s="135" t="s">
        <v>937</v>
      </c>
      <c r="K24" s="1"/>
    </row>
    <row r="25" spans="1:11" ht="39.6" hidden="1" x14ac:dyDescent="0.25">
      <c r="A25" s="1" t="s">
        <v>51</v>
      </c>
      <c r="B25" s="1" t="s">
        <v>940</v>
      </c>
      <c r="C25" s="1" t="s">
        <v>102</v>
      </c>
      <c r="D25" s="1" t="s">
        <v>941</v>
      </c>
      <c r="E25" s="1" t="s">
        <v>98</v>
      </c>
      <c r="F25" s="134">
        <v>45714</v>
      </c>
      <c r="G25" s="1"/>
      <c r="H25" s="1" t="s">
        <v>453</v>
      </c>
      <c r="I25" s="1" t="s">
        <v>936</v>
      </c>
      <c r="J25" s="135" t="s">
        <v>937</v>
      </c>
      <c r="K25" s="1"/>
    </row>
    <row r="26" spans="1:11" ht="39.6" hidden="1" x14ac:dyDescent="0.25">
      <c r="A26" s="1" t="s">
        <v>51</v>
      </c>
      <c r="B26" s="1" t="s">
        <v>942</v>
      </c>
      <c r="C26" s="1" t="s">
        <v>102</v>
      </c>
      <c r="D26" s="1" t="s">
        <v>943</v>
      </c>
      <c r="E26" s="1" t="s">
        <v>98</v>
      </c>
      <c r="F26" s="134">
        <v>45714</v>
      </c>
      <c r="G26" s="1"/>
      <c r="H26" s="1" t="s">
        <v>457</v>
      </c>
      <c r="I26" s="1" t="s">
        <v>936</v>
      </c>
      <c r="J26" s="135" t="s">
        <v>937</v>
      </c>
      <c r="K26" s="1"/>
    </row>
    <row r="27" spans="1:11" ht="39.6" hidden="1" x14ac:dyDescent="0.25">
      <c r="A27" s="1" t="s">
        <v>51</v>
      </c>
      <c r="B27" s="1" t="s">
        <v>944</v>
      </c>
      <c r="C27" s="1" t="s">
        <v>102</v>
      </c>
      <c r="D27" s="1" t="s">
        <v>945</v>
      </c>
      <c r="E27" s="1" t="s">
        <v>98</v>
      </c>
      <c r="F27" s="134">
        <v>45714</v>
      </c>
      <c r="G27" s="1"/>
      <c r="H27" s="1" t="s">
        <v>457</v>
      </c>
      <c r="I27" s="1" t="s">
        <v>936</v>
      </c>
      <c r="J27" s="135" t="s">
        <v>937</v>
      </c>
      <c r="K27" s="1"/>
    </row>
    <row r="28" spans="1:11" ht="39.6" hidden="1" x14ac:dyDescent="0.25">
      <c r="A28" s="1" t="s">
        <v>51</v>
      </c>
      <c r="B28" s="1" t="s">
        <v>946</v>
      </c>
      <c r="C28" s="1" t="s">
        <v>102</v>
      </c>
      <c r="D28" s="1" t="s">
        <v>947</v>
      </c>
      <c r="E28" s="1" t="s">
        <v>98</v>
      </c>
      <c r="F28" s="134">
        <v>45714</v>
      </c>
      <c r="G28" s="1"/>
      <c r="H28" s="1" t="s">
        <v>457</v>
      </c>
      <c r="I28" s="1" t="s">
        <v>936</v>
      </c>
      <c r="J28" s="135" t="s">
        <v>937</v>
      </c>
      <c r="K28" s="1"/>
    </row>
    <row r="29" spans="1:11" ht="39.6" hidden="1" x14ac:dyDescent="0.25">
      <c r="A29" s="1" t="s">
        <v>51</v>
      </c>
      <c r="B29" s="1" t="s">
        <v>948</v>
      </c>
      <c r="C29" s="1" t="s">
        <v>102</v>
      </c>
      <c r="D29" s="1" t="s">
        <v>949</v>
      </c>
      <c r="E29" s="1" t="s">
        <v>98</v>
      </c>
      <c r="F29" s="134">
        <v>45714</v>
      </c>
      <c r="G29" s="1"/>
      <c r="H29" s="1" t="s">
        <v>457</v>
      </c>
      <c r="I29" s="1" t="s">
        <v>936</v>
      </c>
      <c r="J29" s="135" t="s">
        <v>937</v>
      </c>
      <c r="K29" s="1"/>
    </row>
    <row r="30" spans="1:11" ht="39.6" hidden="1" x14ac:dyDescent="0.25">
      <c r="A30" s="1" t="s">
        <v>51</v>
      </c>
      <c r="B30" s="1" t="s">
        <v>950</v>
      </c>
      <c r="C30" s="1" t="s">
        <v>102</v>
      </c>
      <c r="D30" s="1" t="s">
        <v>951</v>
      </c>
      <c r="E30" s="1" t="s">
        <v>98</v>
      </c>
      <c r="F30" s="134">
        <v>45714</v>
      </c>
      <c r="G30" s="1"/>
      <c r="H30" s="1" t="s">
        <v>457</v>
      </c>
      <c r="I30" s="1" t="s">
        <v>936</v>
      </c>
      <c r="J30" s="135" t="s">
        <v>937</v>
      </c>
      <c r="K30" s="1"/>
    </row>
    <row r="31" spans="1:11" ht="39.6" hidden="1" x14ac:dyDescent="0.25">
      <c r="A31" s="1" t="s">
        <v>51</v>
      </c>
      <c r="B31" s="1" t="s">
        <v>952</v>
      </c>
      <c r="C31" s="1" t="s">
        <v>102</v>
      </c>
      <c r="D31" s="1" t="s">
        <v>953</v>
      </c>
      <c r="E31" s="1" t="s">
        <v>98</v>
      </c>
      <c r="F31" s="134">
        <v>45714</v>
      </c>
      <c r="G31" s="1"/>
      <c r="H31" s="1" t="s">
        <v>443</v>
      </c>
      <c r="I31" s="1" t="s">
        <v>936</v>
      </c>
      <c r="J31" s="135" t="s">
        <v>937</v>
      </c>
      <c r="K31" s="1"/>
    </row>
    <row r="32" spans="1:11" ht="39.6" hidden="1" x14ac:dyDescent="0.25">
      <c r="A32" s="1" t="s">
        <v>51</v>
      </c>
      <c r="B32" s="1" t="s">
        <v>954</v>
      </c>
      <c r="C32" s="1" t="s">
        <v>102</v>
      </c>
      <c r="D32" s="1" t="s">
        <v>955</v>
      </c>
      <c r="E32" s="1" t="s">
        <v>98</v>
      </c>
      <c r="F32" s="134">
        <v>45714</v>
      </c>
      <c r="G32" s="1"/>
      <c r="H32" s="1" t="s">
        <v>453</v>
      </c>
      <c r="I32" s="1" t="s">
        <v>936</v>
      </c>
      <c r="J32" s="135" t="s">
        <v>937</v>
      </c>
      <c r="K32" s="1"/>
    </row>
    <row r="33" spans="1:11" ht="39.6" hidden="1" x14ac:dyDescent="0.25">
      <c r="A33" s="1" t="s">
        <v>51</v>
      </c>
      <c r="B33" s="1" t="s">
        <v>956</v>
      </c>
      <c r="C33" s="1" t="s">
        <v>103</v>
      </c>
      <c r="D33" s="1" t="s">
        <v>957</v>
      </c>
      <c r="E33" s="1" t="s">
        <v>98</v>
      </c>
      <c r="F33" s="134">
        <v>45714</v>
      </c>
      <c r="G33" s="1"/>
      <c r="H33" s="1" t="s">
        <v>453</v>
      </c>
      <c r="I33" s="1" t="s">
        <v>936</v>
      </c>
      <c r="J33" s="135" t="s">
        <v>937</v>
      </c>
      <c r="K33" s="1"/>
    </row>
    <row r="34" spans="1:11" ht="39.6" hidden="1" x14ac:dyDescent="0.25">
      <c r="A34" s="1" t="s">
        <v>51</v>
      </c>
      <c r="B34" s="1" t="s">
        <v>958</v>
      </c>
      <c r="C34" s="1" t="s">
        <v>103</v>
      </c>
      <c r="D34" s="1" t="s">
        <v>959</v>
      </c>
      <c r="E34" s="1" t="s">
        <v>98</v>
      </c>
      <c r="F34" s="134">
        <v>45714</v>
      </c>
      <c r="G34" s="1"/>
      <c r="H34" s="1" t="s">
        <v>457</v>
      </c>
      <c r="I34" s="1" t="s">
        <v>936</v>
      </c>
      <c r="J34" s="135" t="s">
        <v>937</v>
      </c>
      <c r="K34" s="1"/>
    </row>
    <row r="35" spans="1:11" ht="39.6" hidden="1" x14ac:dyDescent="0.25">
      <c r="A35" s="1" t="s">
        <v>51</v>
      </c>
      <c r="B35" s="1" t="s">
        <v>960</v>
      </c>
      <c r="C35" s="1" t="s">
        <v>103</v>
      </c>
      <c r="D35" s="1" t="s">
        <v>961</v>
      </c>
      <c r="E35" s="1" t="s">
        <v>98</v>
      </c>
      <c r="F35" s="134">
        <v>45714</v>
      </c>
      <c r="G35" s="1"/>
      <c r="H35" s="1" t="s">
        <v>457</v>
      </c>
      <c r="I35" s="1" t="s">
        <v>936</v>
      </c>
      <c r="J35" s="135" t="s">
        <v>937</v>
      </c>
      <c r="K35" s="1"/>
    </row>
    <row r="36" spans="1:11" ht="39.6" hidden="1" x14ac:dyDescent="0.25">
      <c r="A36" s="1" t="s">
        <v>51</v>
      </c>
      <c r="B36" s="1" t="s">
        <v>962</v>
      </c>
      <c r="C36" s="1" t="s">
        <v>102</v>
      </c>
      <c r="D36" s="1" t="s">
        <v>963</v>
      </c>
      <c r="E36" s="1" t="s">
        <v>98</v>
      </c>
      <c r="F36" s="134">
        <v>45714</v>
      </c>
      <c r="G36" s="1"/>
      <c r="H36" s="1" t="s">
        <v>432</v>
      </c>
      <c r="I36" s="1" t="s">
        <v>936</v>
      </c>
      <c r="J36" s="135" t="s">
        <v>937</v>
      </c>
      <c r="K36" s="1"/>
    </row>
    <row r="37" spans="1:11" ht="39.6" hidden="1" x14ac:dyDescent="0.25">
      <c r="A37" s="1" t="s">
        <v>51</v>
      </c>
      <c r="B37" s="1" t="s">
        <v>964</v>
      </c>
      <c r="C37" s="1" t="s">
        <v>102</v>
      </c>
      <c r="D37" s="1" t="s">
        <v>965</v>
      </c>
      <c r="E37" s="1" t="s">
        <v>98</v>
      </c>
      <c r="F37" s="134">
        <v>45714</v>
      </c>
      <c r="G37" s="1"/>
      <c r="H37" s="1" t="s">
        <v>432</v>
      </c>
      <c r="I37" s="1" t="s">
        <v>936</v>
      </c>
      <c r="J37" s="135" t="s">
        <v>937</v>
      </c>
      <c r="K37" s="1"/>
    </row>
    <row r="38" spans="1:11" ht="39.6" hidden="1" x14ac:dyDescent="0.25">
      <c r="A38" s="1" t="s">
        <v>51</v>
      </c>
      <c r="B38" s="1" t="s">
        <v>966</v>
      </c>
      <c r="C38" s="1" t="s">
        <v>102</v>
      </c>
      <c r="D38" s="1" t="s">
        <v>967</v>
      </c>
      <c r="E38" s="1" t="s">
        <v>98</v>
      </c>
      <c r="F38" s="134">
        <v>45714</v>
      </c>
      <c r="G38" s="1"/>
      <c r="H38" s="1" t="s">
        <v>453</v>
      </c>
      <c r="I38" s="1" t="s">
        <v>936</v>
      </c>
      <c r="J38" s="135" t="s">
        <v>937</v>
      </c>
      <c r="K38" s="1"/>
    </row>
    <row r="39" spans="1:11" ht="39.6" hidden="1" x14ac:dyDescent="0.25">
      <c r="A39" s="1" t="s">
        <v>51</v>
      </c>
      <c r="B39" s="1" t="s">
        <v>968</v>
      </c>
      <c r="C39" s="1" t="s">
        <v>102</v>
      </c>
      <c r="D39" s="1" t="s">
        <v>969</v>
      </c>
      <c r="E39" s="1" t="s">
        <v>98</v>
      </c>
      <c r="F39" s="134">
        <v>45714</v>
      </c>
      <c r="G39" s="1"/>
      <c r="H39" s="1" t="s">
        <v>453</v>
      </c>
      <c r="I39" s="1" t="s">
        <v>936</v>
      </c>
      <c r="J39" s="135" t="s">
        <v>937</v>
      </c>
      <c r="K39" s="1"/>
    </row>
    <row r="40" spans="1:11" ht="39.6" hidden="1" x14ac:dyDescent="0.25">
      <c r="A40" s="1" t="s">
        <v>51</v>
      </c>
      <c r="B40" s="1" t="s">
        <v>970</v>
      </c>
      <c r="C40" s="1" t="s">
        <v>102</v>
      </c>
      <c r="D40" s="1" t="s">
        <v>971</v>
      </c>
      <c r="E40" s="1" t="s">
        <v>98</v>
      </c>
      <c r="F40" s="134">
        <v>45714</v>
      </c>
      <c r="G40" s="1"/>
      <c r="H40" s="1" t="s">
        <v>457</v>
      </c>
      <c r="I40" s="1" t="s">
        <v>936</v>
      </c>
      <c r="J40" s="135" t="s">
        <v>937</v>
      </c>
      <c r="K40" s="1"/>
    </row>
    <row r="41" spans="1:11" ht="39.6" hidden="1" x14ac:dyDescent="0.25">
      <c r="A41" s="1" t="s">
        <v>51</v>
      </c>
      <c r="B41" s="1" t="s">
        <v>972</v>
      </c>
      <c r="C41" s="1" t="s">
        <v>102</v>
      </c>
      <c r="D41" s="1" t="s">
        <v>973</v>
      </c>
      <c r="E41" s="1" t="s">
        <v>98</v>
      </c>
      <c r="F41" s="134">
        <v>45714</v>
      </c>
      <c r="G41" s="1"/>
      <c r="H41" s="1" t="s">
        <v>457</v>
      </c>
      <c r="I41" s="1" t="s">
        <v>936</v>
      </c>
      <c r="J41" s="135" t="s">
        <v>937</v>
      </c>
      <c r="K41" s="1"/>
    </row>
    <row r="42" spans="1:11" ht="39.6" hidden="1" x14ac:dyDescent="0.25">
      <c r="A42" s="1" t="s">
        <v>51</v>
      </c>
      <c r="B42" s="1" t="s">
        <v>974</v>
      </c>
      <c r="C42" s="1" t="s">
        <v>102</v>
      </c>
      <c r="D42" s="1" t="s">
        <v>975</v>
      </c>
      <c r="E42" s="1" t="s">
        <v>98</v>
      </c>
      <c r="F42" s="134">
        <v>45714</v>
      </c>
      <c r="G42" s="1"/>
      <c r="H42" s="1" t="s">
        <v>457</v>
      </c>
      <c r="I42" s="1" t="s">
        <v>936</v>
      </c>
      <c r="J42" s="135" t="s">
        <v>937</v>
      </c>
      <c r="K42" s="1"/>
    </row>
    <row r="43" spans="1:11" ht="39.6" hidden="1" x14ac:dyDescent="0.25">
      <c r="A43" s="1" t="s">
        <v>51</v>
      </c>
      <c r="B43" s="1" t="s">
        <v>976</v>
      </c>
      <c r="C43" s="1" t="s">
        <v>105</v>
      </c>
      <c r="D43" s="1" t="s">
        <v>977</v>
      </c>
      <c r="E43" s="1" t="s">
        <v>98</v>
      </c>
      <c r="F43" s="134">
        <v>45714</v>
      </c>
      <c r="G43" s="1"/>
      <c r="H43" s="1" t="s">
        <v>432</v>
      </c>
      <c r="I43" s="1" t="s">
        <v>936</v>
      </c>
      <c r="J43" s="135" t="s">
        <v>937</v>
      </c>
      <c r="K43" s="1"/>
    </row>
    <row r="44" spans="1:11" ht="39.6" hidden="1" x14ac:dyDescent="0.25">
      <c r="A44" s="1" t="s">
        <v>51</v>
      </c>
      <c r="B44" s="1" t="s">
        <v>978</v>
      </c>
      <c r="C44" s="1" t="s">
        <v>102</v>
      </c>
      <c r="D44" s="1" t="s">
        <v>979</v>
      </c>
      <c r="E44" s="1" t="s">
        <v>98</v>
      </c>
      <c r="F44" s="134">
        <v>45714</v>
      </c>
      <c r="G44" s="1"/>
      <c r="H44" s="1" t="s">
        <v>432</v>
      </c>
      <c r="I44" s="1" t="s">
        <v>936</v>
      </c>
      <c r="J44" s="135" t="s">
        <v>937</v>
      </c>
      <c r="K44" s="1"/>
    </row>
    <row r="45" spans="1:11" ht="39.6" hidden="1" x14ac:dyDescent="0.25">
      <c r="A45" s="1" t="s">
        <v>51</v>
      </c>
      <c r="B45" s="1" t="s">
        <v>980</v>
      </c>
      <c r="C45" s="1" t="s">
        <v>102</v>
      </c>
      <c r="D45" s="1" t="s">
        <v>981</v>
      </c>
      <c r="E45" s="1" t="s">
        <v>98</v>
      </c>
      <c r="F45" s="134">
        <v>45714</v>
      </c>
      <c r="G45" s="1"/>
      <c r="H45" s="1" t="s">
        <v>443</v>
      </c>
      <c r="I45" s="1" t="s">
        <v>936</v>
      </c>
      <c r="J45" s="135" t="s">
        <v>937</v>
      </c>
      <c r="K45" s="1"/>
    </row>
    <row r="46" spans="1:11" ht="39.6" hidden="1" x14ac:dyDescent="0.25">
      <c r="A46" s="1" t="s">
        <v>51</v>
      </c>
      <c r="B46" s="1" t="s">
        <v>982</v>
      </c>
      <c r="C46" s="1" t="s">
        <v>102</v>
      </c>
      <c r="D46" s="1" t="s">
        <v>983</v>
      </c>
      <c r="E46" s="1" t="s">
        <v>98</v>
      </c>
      <c r="F46" s="134">
        <v>45714</v>
      </c>
      <c r="G46" s="1"/>
      <c r="H46" s="1" t="s">
        <v>432</v>
      </c>
      <c r="I46" s="1" t="s">
        <v>936</v>
      </c>
      <c r="J46" s="135" t="s">
        <v>937</v>
      </c>
      <c r="K46" s="1"/>
    </row>
    <row r="47" spans="1:11" ht="39.6" hidden="1" x14ac:dyDescent="0.25">
      <c r="A47" s="1" t="s">
        <v>51</v>
      </c>
      <c r="B47" s="1" t="s">
        <v>984</v>
      </c>
      <c r="C47" s="1" t="s">
        <v>102</v>
      </c>
      <c r="D47" s="1" t="s">
        <v>985</v>
      </c>
      <c r="E47" s="1" t="s">
        <v>98</v>
      </c>
      <c r="F47" s="134">
        <v>45714</v>
      </c>
      <c r="G47" s="1"/>
      <c r="H47" s="1" t="s">
        <v>453</v>
      </c>
      <c r="I47" s="1" t="s">
        <v>936</v>
      </c>
      <c r="J47" s="135" t="s">
        <v>937</v>
      </c>
      <c r="K47" s="1"/>
    </row>
    <row r="48" spans="1:11" ht="39.6" hidden="1" x14ac:dyDescent="0.25">
      <c r="A48" s="1" t="s">
        <v>51</v>
      </c>
      <c r="B48" s="1" t="s">
        <v>986</v>
      </c>
      <c r="C48" s="1" t="s">
        <v>102</v>
      </c>
      <c r="D48" s="1" t="s">
        <v>987</v>
      </c>
      <c r="E48" s="1" t="s">
        <v>98</v>
      </c>
      <c r="F48" s="134">
        <v>45714</v>
      </c>
      <c r="G48" s="1"/>
      <c r="H48" s="1" t="s">
        <v>457</v>
      </c>
      <c r="I48" s="1" t="s">
        <v>936</v>
      </c>
      <c r="J48" s="135" t="s">
        <v>937</v>
      </c>
      <c r="K48" s="1"/>
    </row>
    <row r="49" spans="1:11" hidden="1" x14ac:dyDescent="0.25">
      <c r="A49" s="1" t="s">
        <v>51</v>
      </c>
      <c r="B49" s="1" t="s">
        <v>364</v>
      </c>
      <c r="C49" s="1" t="s">
        <v>103</v>
      </c>
      <c r="D49" s="1" t="s">
        <v>365</v>
      </c>
      <c r="E49" s="1" t="s">
        <v>96</v>
      </c>
      <c r="F49" s="134">
        <v>45720</v>
      </c>
      <c r="G49" s="134">
        <v>45772</v>
      </c>
      <c r="H49" s="1" t="s">
        <v>387</v>
      </c>
      <c r="I49" s="1" t="s">
        <v>360</v>
      </c>
      <c r="J49" s="1" t="s">
        <v>357</v>
      </c>
      <c r="K49" s="1"/>
    </row>
    <row r="50" spans="1:11" hidden="1" x14ac:dyDescent="0.25">
      <c r="A50" s="1" t="s">
        <v>51</v>
      </c>
      <c r="B50" s="1" t="s">
        <v>366</v>
      </c>
      <c r="C50" s="1" t="s">
        <v>102</v>
      </c>
      <c r="D50" s="1" t="s">
        <v>367</v>
      </c>
      <c r="E50" s="1" t="s">
        <v>96</v>
      </c>
      <c r="F50" s="134">
        <v>45720</v>
      </c>
      <c r="G50" s="134">
        <v>45772</v>
      </c>
      <c r="H50" s="1" t="s">
        <v>387</v>
      </c>
      <c r="I50" s="1" t="s">
        <v>360</v>
      </c>
      <c r="J50" s="1" t="s">
        <v>357</v>
      </c>
      <c r="K50" s="1"/>
    </row>
    <row r="51" spans="1:11" hidden="1" x14ac:dyDescent="0.25">
      <c r="A51" s="1" t="s">
        <v>51</v>
      </c>
      <c r="B51" s="1" t="s">
        <v>368</v>
      </c>
      <c r="C51" s="1" t="s">
        <v>102</v>
      </c>
      <c r="D51" s="1" t="s">
        <v>369</v>
      </c>
      <c r="E51" s="1" t="s">
        <v>96</v>
      </c>
      <c r="F51" s="134">
        <v>45720</v>
      </c>
      <c r="G51" s="134">
        <v>45772</v>
      </c>
      <c r="H51" s="1" t="s">
        <v>387</v>
      </c>
      <c r="I51" s="1" t="s">
        <v>360</v>
      </c>
      <c r="J51" s="1" t="s">
        <v>357</v>
      </c>
      <c r="K51" s="1"/>
    </row>
    <row r="52" spans="1:11" ht="66" hidden="1" x14ac:dyDescent="0.25">
      <c r="A52" s="1" t="s">
        <v>51</v>
      </c>
      <c r="B52" s="1" t="s">
        <v>988</v>
      </c>
      <c r="C52" s="1" t="s">
        <v>105</v>
      </c>
      <c r="D52" s="1" t="s">
        <v>989</v>
      </c>
      <c r="E52" s="1" t="s">
        <v>96</v>
      </c>
      <c r="F52" s="134">
        <v>45723</v>
      </c>
      <c r="G52" s="134">
        <v>45961</v>
      </c>
      <c r="H52" s="1" t="s">
        <v>990</v>
      </c>
      <c r="I52" s="1" t="s">
        <v>89</v>
      </c>
      <c r="J52" s="135" t="s">
        <v>991</v>
      </c>
      <c r="K52" s="1"/>
    </row>
    <row r="53" spans="1:11" hidden="1" x14ac:dyDescent="0.25">
      <c r="A53" s="1" t="s">
        <v>380</v>
      </c>
      <c r="B53" s="1" t="s">
        <v>992</v>
      </c>
      <c r="C53" s="1" t="s">
        <v>102</v>
      </c>
      <c r="D53" s="1" t="s">
        <v>993</v>
      </c>
      <c r="E53" s="1" t="s">
        <v>98</v>
      </c>
      <c r="F53" s="134">
        <v>45776</v>
      </c>
      <c r="G53" s="1"/>
      <c r="H53" s="1" t="s">
        <v>480</v>
      </c>
      <c r="I53" s="1" t="s">
        <v>994</v>
      </c>
      <c r="J53" s="1" t="s">
        <v>481</v>
      </c>
      <c r="K53" s="1"/>
    </row>
    <row r="54" spans="1:11" hidden="1" x14ac:dyDescent="0.25">
      <c r="A54" s="1" t="s">
        <v>380</v>
      </c>
      <c r="B54" s="1" t="s">
        <v>995</v>
      </c>
      <c r="C54" s="1" t="s">
        <v>103</v>
      </c>
      <c r="D54" s="1" t="s">
        <v>996</v>
      </c>
      <c r="E54" s="1" t="s">
        <v>96</v>
      </c>
      <c r="F54" s="134">
        <v>45776</v>
      </c>
      <c r="G54" s="134">
        <v>45819</v>
      </c>
      <c r="H54" s="1" t="s">
        <v>480</v>
      </c>
      <c r="I54" s="1" t="s">
        <v>994</v>
      </c>
      <c r="J54" s="1" t="s">
        <v>481</v>
      </c>
      <c r="K54" s="1"/>
    </row>
    <row r="55" spans="1:11" hidden="1" x14ac:dyDescent="0.25">
      <c r="A55" s="1" t="s">
        <v>375</v>
      </c>
      <c r="B55" s="1" t="s">
        <v>997</v>
      </c>
      <c r="C55" s="1" t="s">
        <v>102</v>
      </c>
      <c r="D55" s="1" t="s">
        <v>998</v>
      </c>
      <c r="E55" s="1" t="s">
        <v>98</v>
      </c>
      <c r="F55" s="134">
        <v>45852</v>
      </c>
      <c r="G55" s="134">
        <v>46022</v>
      </c>
      <c r="H55" s="1" t="s">
        <v>445</v>
      </c>
      <c r="I55" s="1" t="s">
        <v>613</v>
      </c>
      <c r="J55" s="1" t="s">
        <v>488</v>
      </c>
      <c r="K55" s="1"/>
    </row>
    <row r="56" spans="1:11" hidden="1" x14ac:dyDescent="0.25">
      <c r="A56" s="1" t="s">
        <v>375</v>
      </c>
      <c r="B56" s="1" t="s">
        <v>999</v>
      </c>
      <c r="C56" s="1" t="s">
        <v>104</v>
      </c>
      <c r="D56" s="1" t="s">
        <v>1000</v>
      </c>
      <c r="E56" s="1" t="s">
        <v>98</v>
      </c>
      <c r="F56" s="134">
        <v>45852</v>
      </c>
      <c r="G56" s="134">
        <v>46022</v>
      </c>
      <c r="H56" s="1" t="s">
        <v>445</v>
      </c>
      <c r="I56" s="1" t="s">
        <v>613</v>
      </c>
      <c r="J56" s="1" t="s">
        <v>488</v>
      </c>
      <c r="K56" s="1"/>
    </row>
    <row r="57" spans="1:11" hidden="1" x14ac:dyDescent="0.25">
      <c r="A57" s="1" t="s">
        <v>375</v>
      </c>
      <c r="B57" s="1" t="s">
        <v>1001</v>
      </c>
      <c r="C57" s="1" t="s">
        <v>103</v>
      </c>
      <c r="D57" s="1" t="s">
        <v>1002</v>
      </c>
      <c r="E57" s="1" t="s">
        <v>98</v>
      </c>
      <c r="F57" s="134">
        <v>45852</v>
      </c>
      <c r="G57" s="134">
        <v>46022</v>
      </c>
      <c r="H57" s="1" t="s">
        <v>445</v>
      </c>
      <c r="I57" s="1" t="s">
        <v>613</v>
      </c>
      <c r="J57" s="1" t="s">
        <v>488</v>
      </c>
      <c r="K57" s="1"/>
    </row>
    <row r="58" spans="1:11" hidden="1" x14ac:dyDescent="0.25">
      <c r="A58" s="1" t="s">
        <v>51</v>
      </c>
      <c r="B58" s="1" t="s">
        <v>418</v>
      </c>
      <c r="C58" s="1" t="s">
        <v>105</v>
      </c>
      <c r="D58" s="1" t="s">
        <v>419</v>
      </c>
      <c r="E58" s="1" t="s">
        <v>98</v>
      </c>
      <c r="F58" s="134">
        <v>45860</v>
      </c>
      <c r="G58" s="1"/>
      <c r="H58" s="1" t="s">
        <v>387</v>
      </c>
      <c r="I58" s="1" t="s">
        <v>386</v>
      </c>
      <c r="J58" s="1" t="s">
        <v>85</v>
      </c>
      <c r="K58" s="1"/>
    </row>
    <row r="59" spans="1:11" hidden="1" x14ac:dyDescent="0.25">
      <c r="A59" s="1" t="s">
        <v>51</v>
      </c>
      <c r="B59" s="1" t="s">
        <v>1003</v>
      </c>
      <c r="C59" s="1" t="s">
        <v>103</v>
      </c>
      <c r="D59" s="1" t="s">
        <v>1004</v>
      </c>
      <c r="E59" s="1" t="s">
        <v>98</v>
      </c>
      <c r="F59" s="134">
        <v>45860</v>
      </c>
      <c r="G59" s="1"/>
      <c r="H59" s="1" t="s">
        <v>543</v>
      </c>
      <c r="I59" s="1" t="s">
        <v>386</v>
      </c>
      <c r="J59" s="1" t="s">
        <v>85</v>
      </c>
      <c r="K59" s="1"/>
    </row>
    <row r="60" spans="1:11" hidden="1" x14ac:dyDescent="0.25">
      <c r="A60" s="1" t="s">
        <v>51</v>
      </c>
      <c r="B60" s="1" t="s">
        <v>1005</v>
      </c>
      <c r="C60" s="1" t="s">
        <v>102</v>
      </c>
      <c r="D60" s="1" t="s">
        <v>1006</v>
      </c>
      <c r="E60" s="1" t="s">
        <v>98</v>
      </c>
      <c r="F60" s="134">
        <v>45860</v>
      </c>
      <c r="G60" s="1"/>
      <c r="H60" s="1" t="s">
        <v>543</v>
      </c>
      <c r="I60" s="1" t="s">
        <v>386</v>
      </c>
      <c r="J60" s="1" t="s">
        <v>85</v>
      </c>
      <c r="K60" s="1"/>
    </row>
    <row r="61" spans="1:11" hidden="1" x14ac:dyDescent="0.25">
      <c r="A61" s="1" t="s">
        <v>51</v>
      </c>
      <c r="B61" s="1" t="s">
        <v>1007</v>
      </c>
      <c r="C61" s="1" t="s">
        <v>102</v>
      </c>
      <c r="D61" s="1" t="s">
        <v>1008</v>
      </c>
      <c r="E61" s="1" t="s">
        <v>98</v>
      </c>
      <c r="F61" s="134">
        <v>45860</v>
      </c>
      <c r="G61" s="1"/>
      <c r="H61" s="1" t="s">
        <v>527</v>
      </c>
      <c r="I61" s="1" t="s">
        <v>386</v>
      </c>
      <c r="J61" s="1" t="s">
        <v>85</v>
      </c>
      <c r="K61" s="1"/>
    </row>
    <row r="62" spans="1:11" hidden="1" x14ac:dyDescent="0.25">
      <c r="A62" s="1" t="s">
        <v>51</v>
      </c>
      <c r="B62" s="1" t="s">
        <v>1010</v>
      </c>
      <c r="C62" s="1" t="s">
        <v>102</v>
      </c>
      <c r="D62" s="1" t="s">
        <v>1011</v>
      </c>
      <c r="E62" s="1" t="s">
        <v>98</v>
      </c>
      <c r="F62" s="134">
        <v>45884</v>
      </c>
      <c r="G62" s="1"/>
      <c r="H62" s="1" t="s">
        <v>437</v>
      </c>
      <c r="I62" s="1" t="s">
        <v>886</v>
      </c>
      <c r="J62" s="1" t="s">
        <v>493</v>
      </c>
      <c r="K62" s="1"/>
    </row>
    <row r="63" spans="1:11" hidden="1" x14ac:dyDescent="0.25">
      <c r="A63" s="1" t="s">
        <v>51</v>
      </c>
      <c r="B63" s="1" t="s">
        <v>1012</v>
      </c>
      <c r="C63" s="1" t="s">
        <v>103</v>
      </c>
      <c r="D63" s="1" t="s">
        <v>1013</v>
      </c>
      <c r="E63" s="1" t="s">
        <v>98</v>
      </c>
      <c r="F63" s="134">
        <v>45884</v>
      </c>
      <c r="G63" s="1"/>
      <c r="H63" s="1" t="s">
        <v>527</v>
      </c>
      <c r="I63" s="1" t="s">
        <v>886</v>
      </c>
      <c r="J63" s="1" t="s">
        <v>493</v>
      </c>
      <c r="K63" s="1"/>
    </row>
    <row r="64" spans="1:11" hidden="1" x14ac:dyDescent="0.25">
      <c r="A64" s="1" t="s">
        <v>51</v>
      </c>
      <c r="B64" s="1" t="s">
        <v>1014</v>
      </c>
      <c r="C64" s="1" t="s">
        <v>102</v>
      </c>
      <c r="D64" s="1" t="s">
        <v>1015</v>
      </c>
      <c r="E64" s="1" t="s">
        <v>98</v>
      </c>
      <c r="F64" s="134">
        <v>45884</v>
      </c>
      <c r="G64" s="1"/>
      <c r="H64" s="1" t="s">
        <v>527</v>
      </c>
      <c r="I64" s="1" t="s">
        <v>886</v>
      </c>
      <c r="J64" s="1" t="s">
        <v>493</v>
      </c>
      <c r="K64" s="1"/>
    </row>
    <row r="65" spans="1:11" hidden="1" x14ac:dyDescent="0.25">
      <c r="A65" s="1" t="s">
        <v>51</v>
      </c>
      <c r="B65" s="1" t="s">
        <v>1016</v>
      </c>
      <c r="C65" s="1" t="s">
        <v>105</v>
      </c>
      <c r="D65" s="1" t="s">
        <v>1017</v>
      </c>
      <c r="E65" s="1" t="s">
        <v>98</v>
      </c>
      <c r="F65" s="134">
        <v>45884</v>
      </c>
      <c r="G65" s="1"/>
      <c r="H65" s="1" t="s">
        <v>437</v>
      </c>
      <c r="I65" s="1" t="s">
        <v>886</v>
      </c>
      <c r="J65" s="1" t="s">
        <v>493</v>
      </c>
      <c r="K65" s="1"/>
    </row>
    <row r="66" spans="1:11" hidden="1" x14ac:dyDescent="0.25">
      <c r="A66" s="1" t="s">
        <v>51</v>
      </c>
      <c r="B66" s="1" t="s">
        <v>1019</v>
      </c>
      <c r="C66" s="1" t="s">
        <v>102</v>
      </c>
      <c r="D66" s="1" t="s">
        <v>1020</v>
      </c>
      <c r="E66" s="1" t="s">
        <v>96</v>
      </c>
      <c r="F66" s="134">
        <v>45889</v>
      </c>
      <c r="G66" s="134">
        <v>45933</v>
      </c>
      <c r="H66" s="1" t="s">
        <v>543</v>
      </c>
      <c r="I66" s="1" t="s">
        <v>386</v>
      </c>
      <c r="J66" s="1" t="s">
        <v>85</v>
      </c>
      <c r="K66" s="1"/>
    </row>
    <row r="67" spans="1:11" hidden="1" x14ac:dyDescent="0.25">
      <c r="A67" s="1" t="s">
        <v>51</v>
      </c>
      <c r="B67" s="1" t="s">
        <v>1021</v>
      </c>
      <c r="C67" s="1" t="s">
        <v>105</v>
      </c>
      <c r="D67" s="1" t="s">
        <v>1022</v>
      </c>
      <c r="E67" s="1" t="s">
        <v>96</v>
      </c>
      <c r="F67" s="134">
        <v>45889</v>
      </c>
      <c r="G67" s="134">
        <v>45933</v>
      </c>
      <c r="H67" s="1" t="s">
        <v>543</v>
      </c>
      <c r="I67" s="1" t="s">
        <v>386</v>
      </c>
      <c r="J67" s="1" t="s">
        <v>85</v>
      </c>
      <c r="K67" s="1"/>
    </row>
    <row r="68" spans="1:11" hidden="1" x14ac:dyDescent="0.25">
      <c r="A68" s="1" t="s">
        <v>51</v>
      </c>
      <c r="B68" s="1" t="s">
        <v>1023</v>
      </c>
      <c r="C68" s="1" t="s">
        <v>103</v>
      </c>
      <c r="D68" s="1" t="s">
        <v>1024</v>
      </c>
      <c r="E68" s="1" t="s">
        <v>96</v>
      </c>
      <c r="F68" s="134">
        <v>45889</v>
      </c>
      <c r="G68" s="134">
        <v>45933</v>
      </c>
      <c r="H68" s="1" t="s">
        <v>543</v>
      </c>
      <c r="I68" s="1" t="s">
        <v>386</v>
      </c>
      <c r="J68" s="1" t="s">
        <v>85</v>
      </c>
      <c r="K68" s="1"/>
    </row>
    <row r="69" spans="1:11" hidden="1" x14ac:dyDescent="0.25">
      <c r="A69" s="1" t="s">
        <v>51</v>
      </c>
      <c r="B69" s="1" t="s">
        <v>1025</v>
      </c>
      <c r="C69" s="1" t="s">
        <v>102</v>
      </c>
      <c r="D69" s="1" t="s">
        <v>1026</v>
      </c>
      <c r="E69" s="1" t="s">
        <v>96</v>
      </c>
      <c r="F69" s="134">
        <v>45889</v>
      </c>
      <c r="G69" s="134">
        <v>45933</v>
      </c>
      <c r="H69" s="1" t="s">
        <v>457</v>
      </c>
      <c r="I69" s="1" t="s">
        <v>386</v>
      </c>
      <c r="J69" s="1" t="s">
        <v>85</v>
      </c>
      <c r="K69" s="1"/>
    </row>
    <row r="70" spans="1:11" hidden="1" x14ac:dyDescent="0.25">
      <c r="A70" s="1" t="s">
        <v>51</v>
      </c>
      <c r="B70" s="1" t="s">
        <v>1027</v>
      </c>
      <c r="C70" s="1" t="s">
        <v>102</v>
      </c>
      <c r="D70" s="1" t="s">
        <v>1028</v>
      </c>
      <c r="E70" s="1" t="s">
        <v>98</v>
      </c>
      <c r="F70" s="134">
        <v>45898</v>
      </c>
      <c r="G70" s="1"/>
      <c r="H70" s="1" t="s">
        <v>443</v>
      </c>
      <c r="I70" s="1" t="s">
        <v>596</v>
      </c>
      <c r="J70" s="1"/>
      <c r="K70" s="1"/>
    </row>
    <row r="71" spans="1:11" x14ac:dyDescent="0.25">
      <c r="A71" s="1" t="s">
        <v>51</v>
      </c>
      <c r="B71" s="1" t="s">
        <v>1029</v>
      </c>
      <c r="C71" s="1" t="s">
        <v>105</v>
      </c>
      <c r="D71" s="1" t="s">
        <v>1030</v>
      </c>
      <c r="E71" s="1" t="s">
        <v>98</v>
      </c>
      <c r="F71" s="134">
        <v>45908</v>
      </c>
      <c r="G71" s="134">
        <v>45989</v>
      </c>
      <c r="H71" s="1" t="s">
        <v>443</v>
      </c>
      <c r="I71" s="1" t="s">
        <v>89</v>
      </c>
      <c r="J71" s="1" t="s">
        <v>85</v>
      </c>
      <c r="K71" s="1"/>
    </row>
    <row r="72" spans="1:11" hidden="1" x14ac:dyDescent="0.25">
      <c r="A72" s="1" t="s">
        <v>51</v>
      </c>
      <c r="B72" s="1" t="s">
        <v>1031</v>
      </c>
      <c r="C72" s="1" t="s">
        <v>102</v>
      </c>
      <c r="D72" s="1" t="s">
        <v>1032</v>
      </c>
      <c r="E72" s="1" t="s">
        <v>98</v>
      </c>
      <c r="F72" s="134">
        <v>45918</v>
      </c>
      <c r="G72" s="1"/>
      <c r="H72" s="1" t="s">
        <v>443</v>
      </c>
      <c r="I72" s="1" t="s">
        <v>1033</v>
      </c>
      <c r="J72" s="1"/>
      <c r="K72" s="1"/>
    </row>
    <row r="73" spans="1:11" hidden="1" x14ac:dyDescent="0.25">
      <c r="A73" s="1" t="s">
        <v>51</v>
      </c>
      <c r="B73" s="1" t="s">
        <v>1034</v>
      </c>
      <c r="C73" s="1" t="s">
        <v>102</v>
      </c>
      <c r="D73" s="1" t="s">
        <v>1035</v>
      </c>
      <c r="E73" s="1" t="s">
        <v>98</v>
      </c>
      <c r="F73" s="134">
        <v>45918</v>
      </c>
      <c r="G73" s="1"/>
      <c r="H73" s="1" t="s">
        <v>443</v>
      </c>
      <c r="I73" s="1" t="s">
        <v>1033</v>
      </c>
      <c r="J73" s="1"/>
      <c r="K73" s="1"/>
    </row>
    <row r="74" spans="1:11" hidden="1" x14ac:dyDescent="0.25">
      <c r="A74" s="1" t="s">
        <v>51</v>
      </c>
      <c r="B74" s="1" t="s">
        <v>1036</v>
      </c>
      <c r="C74" s="1" t="s">
        <v>102</v>
      </c>
      <c r="D74" s="1" t="s">
        <v>1037</v>
      </c>
      <c r="E74" s="1" t="s">
        <v>98</v>
      </c>
      <c r="F74" s="134">
        <v>45918</v>
      </c>
      <c r="G74" s="1"/>
      <c r="H74" s="1" t="s">
        <v>443</v>
      </c>
      <c r="I74" s="1" t="s">
        <v>1033</v>
      </c>
      <c r="J74" s="1"/>
      <c r="K74" s="1"/>
    </row>
    <row r="75" spans="1:11" hidden="1" x14ac:dyDescent="0.25">
      <c r="A75" s="1" t="s">
        <v>51</v>
      </c>
      <c r="B75" s="1" t="s">
        <v>1038</v>
      </c>
      <c r="C75" s="1" t="s">
        <v>102</v>
      </c>
      <c r="D75" s="1" t="s">
        <v>1039</v>
      </c>
      <c r="E75" s="1" t="s">
        <v>98</v>
      </c>
      <c r="F75" s="134">
        <v>45918</v>
      </c>
      <c r="G75" s="1"/>
      <c r="H75" s="1" t="s">
        <v>443</v>
      </c>
      <c r="I75" s="1" t="s">
        <v>1033</v>
      </c>
      <c r="J75" s="1"/>
      <c r="K75" s="1"/>
    </row>
    <row r="76" spans="1:11" hidden="1" x14ac:dyDescent="0.25">
      <c r="A76" s="1" t="s">
        <v>51</v>
      </c>
      <c r="B76" s="1" t="s">
        <v>1040</v>
      </c>
      <c r="C76" s="1" t="s">
        <v>102</v>
      </c>
      <c r="D76" s="1" t="s">
        <v>1041</v>
      </c>
      <c r="E76" s="1" t="s">
        <v>98</v>
      </c>
      <c r="F76" s="134">
        <v>45918</v>
      </c>
      <c r="G76" s="1"/>
      <c r="H76" s="1" t="s">
        <v>443</v>
      </c>
      <c r="I76" s="1" t="s">
        <v>1033</v>
      </c>
      <c r="J76" s="1"/>
      <c r="K76" s="1"/>
    </row>
    <row r="77" spans="1:11" hidden="1" x14ac:dyDescent="0.25">
      <c r="A77" s="1" t="s">
        <v>51</v>
      </c>
      <c r="B77" s="1" t="s">
        <v>1042</v>
      </c>
      <c r="C77" s="1" t="s">
        <v>102</v>
      </c>
      <c r="D77" s="1" t="s">
        <v>1043</v>
      </c>
      <c r="E77" s="1" t="s">
        <v>98</v>
      </c>
      <c r="F77" s="134">
        <v>45918</v>
      </c>
      <c r="G77" s="1"/>
      <c r="H77" s="1" t="s">
        <v>443</v>
      </c>
      <c r="I77" s="1" t="s">
        <v>1033</v>
      </c>
      <c r="J77" s="1"/>
      <c r="K77" s="1"/>
    </row>
    <row r="78" spans="1:11" hidden="1" x14ac:dyDescent="0.25">
      <c r="A78" s="1" t="s">
        <v>51</v>
      </c>
      <c r="B78" s="1" t="s">
        <v>1044</v>
      </c>
      <c r="C78" s="1" t="s">
        <v>102</v>
      </c>
      <c r="D78" s="1" t="s">
        <v>1045</v>
      </c>
      <c r="E78" s="1" t="s">
        <v>98</v>
      </c>
      <c r="F78" s="134">
        <v>45918</v>
      </c>
      <c r="G78" s="1"/>
      <c r="H78" s="1" t="s">
        <v>443</v>
      </c>
      <c r="I78" s="1" t="s">
        <v>1033</v>
      </c>
      <c r="J78" s="1"/>
      <c r="K78" s="1"/>
    </row>
    <row r="79" spans="1:11" hidden="1" x14ac:dyDescent="0.25">
      <c r="A79" s="1" t="s">
        <v>51</v>
      </c>
      <c r="B79" s="1" t="s">
        <v>1046</v>
      </c>
      <c r="C79" s="1" t="s">
        <v>102</v>
      </c>
      <c r="D79" s="1" t="s">
        <v>1047</v>
      </c>
      <c r="E79" s="1" t="s">
        <v>98</v>
      </c>
      <c r="F79" s="134">
        <v>45918</v>
      </c>
      <c r="G79" s="1"/>
      <c r="H79" s="1" t="s">
        <v>443</v>
      </c>
      <c r="I79" s="1" t="s">
        <v>1033</v>
      </c>
      <c r="J79" s="1"/>
      <c r="K79" s="1"/>
    </row>
    <row r="80" spans="1:11" x14ac:dyDescent="0.25">
      <c r="A80" s="1" t="s">
        <v>375</v>
      </c>
      <c r="B80" s="1" t="s">
        <v>1048</v>
      </c>
      <c r="C80" s="1" t="s">
        <v>104</v>
      </c>
      <c r="D80" s="1" t="s">
        <v>1049</v>
      </c>
      <c r="E80" s="1" t="s">
        <v>107</v>
      </c>
      <c r="F80" s="134">
        <v>45922</v>
      </c>
      <c r="G80" s="134">
        <v>45990</v>
      </c>
      <c r="H80" s="1" t="s">
        <v>480</v>
      </c>
      <c r="I80" s="1" t="s">
        <v>613</v>
      </c>
      <c r="J80" s="1" t="s">
        <v>379</v>
      </c>
      <c r="K80" s="1"/>
    </row>
    <row r="81" spans="1:11" ht="26.4" hidden="1" x14ac:dyDescent="0.25">
      <c r="A81" s="138" t="s">
        <v>375</v>
      </c>
      <c r="B81" s="138" t="s">
        <v>1050</v>
      </c>
      <c r="C81" s="138" t="s">
        <v>103</v>
      </c>
      <c r="D81" s="138" t="s">
        <v>1051</v>
      </c>
      <c r="E81" s="138" t="s">
        <v>107</v>
      </c>
      <c r="F81" s="139">
        <v>45922</v>
      </c>
      <c r="G81" s="139">
        <v>45982</v>
      </c>
      <c r="H81" s="138" t="s">
        <v>540</v>
      </c>
      <c r="I81" s="138" t="s">
        <v>613</v>
      </c>
      <c r="J81" s="138" t="s">
        <v>379</v>
      </c>
      <c r="K81" s="140" t="s">
        <v>358</v>
      </c>
    </row>
    <row r="82" spans="1:11" x14ac:dyDescent="0.25">
      <c r="A82" s="1" t="s">
        <v>375</v>
      </c>
      <c r="B82" s="1" t="s">
        <v>1052</v>
      </c>
      <c r="C82" s="1" t="s">
        <v>105</v>
      </c>
      <c r="D82" s="1" t="s">
        <v>1053</v>
      </c>
      <c r="E82" s="1" t="s">
        <v>107</v>
      </c>
      <c r="F82" s="134">
        <v>45922</v>
      </c>
      <c r="G82" s="134">
        <v>45988</v>
      </c>
      <c r="H82" s="1" t="s">
        <v>572</v>
      </c>
      <c r="I82" s="1" t="s">
        <v>613</v>
      </c>
      <c r="J82" s="1" t="s">
        <v>379</v>
      </c>
      <c r="K82" s="1"/>
    </row>
    <row r="83" spans="1:11" x14ac:dyDescent="0.25">
      <c r="A83" s="1" t="s">
        <v>375</v>
      </c>
      <c r="B83" s="1" t="s">
        <v>1054</v>
      </c>
      <c r="C83" s="1" t="s">
        <v>105</v>
      </c>
      <c r="D83" s="1" t="s">
        <v>1055</v>
      </c>
      <c r="E83" s="1" t="s">
        <v>107</v>
      </c>
      <c r="F83" s="134">
        <v>45922</v>
      </c>
      <c r="G83" s="134">
        <v>45990</v>
      </c>
      <c r="H83" s="1" t="s">
        <v>480</v>
      </c>
      <c r="I83" s="1" t="s">
        <v>613</v>
      </c>
      <c r="J83" s="1" t="s">
        <v>379</v>
      </c>
      <c r="K83" s="1"/>
    </row>
    <row r="84" spans="1:11" ht="26.4" hidden="1" x14ac:dyDescent="0.25">
      <c r="A84" s="138" t="s">
        <v>375</v>
      </c>
      <c r="B84" s="138" t="s">
        <v>1056</v>
      </c>
      <c r="C84" s="138" t="s">
        <v>105</v>
      </c>
      <c r="D84" s="138" t="s">
        <v>1057</v>
      </c>
      <c r="E84" s="138" t="s">
        <v>107</v>
      </c>
      <c r="F84" s="139">
        <v>45922</v>
      </c>
      <c r="G84" s="139">
        <v>45982</v>
      </c>
      <c r="H84" s="138" t="s">
        <v>540</v>
      </c>
      <c r="I84" s="138" t="s">
        <v>613</v>
      </c>
      <c r="J84" s="138" t="s">
        <v>379</v>
      </c>
      <c r="K84" s="140" t="s">
        <v>358</v>
      </c>
    </row>
    <row r="85" spans="1:11" ht="26.4" hidden="1" x14ac:dyDescent="0.25">
      <c r="A85" s="138" t="s">
        <v>375</v>
      </c>
      <c r="B85" s="138" t="s">
        <v>1058</v>
      </c>
      <c r="C85" s="138" t="s">
        <v>104</v>
      </c>
      <c r="D85" s="138" t="s">
        <v>1059</v>
      </c>
      <c r="E85" s="138" t="s">
        <v>107</v>
      </c>
      <c r="F85" s="139">
        <v>45922</v>
      </c>
      <c r="G85" s="139">
        <v>45982</v>
      </c>
      <c r="H85" s="138" t="s">
        <v>540</v>
      </c>
      <c r="I85" s="138" t="s">
        <v>613</v>
      </c>
      <c r="J85" s="138" t="s">
        <v>379</v>
      </c>
      <c r="K85" s="140" t="s">
        <v>358</v>
      </c>
    </row>
    <row r="86" spans="1:11" x14ac:dyDescent="0.25">
      <c r="A86" s="1" t="s">
        <v>375</v>
      </c>
      <c r="B86" s="1" t="s">
        <v>1060</v>
      </c>
      <c r="C86" s="1" t="s">
        <v>105</v>
      </c>
      <c r="D86" s="1" t="s">
        <v>1061</v>
      </c>
      <c r="E86" s="1" t="s">
        <v>107</v>
      </c>
      <c r="F86" s="134">
        <v>45922</v>
      </c>
      <c r="G86" s="134">
        <v>45988</v>
      </c>
      <c r="H86" s="1" t="s">
        <v>572</v>
      </c>
      <c r="I86" s="1" t="s">
        <v>613</v>
      </c>
      <c r="J86" s="1" t="s">
        <v>379</v>
      </c>
      <c r="K86" s="1"/>
    </row>
    <row r="87" spans="1:11" x14ac:dyDescent="0.25">
      <c r="A87" s="1" t="s">
        <v>375</v>
      </c>
      <c r="B87" s="1" t="s">
        <v>1062</v>
      </c>
      <c r="C87" s="1" t="s">
        <v>103</v>
      </c>
      <c r="D87" s="1" t="s">
        <v>1063</v>
      </c>
      <c r="E87" s="1" t="s">
        <v>107</v>
      </c>
      <c r="F87" s="134">
        <v>45922</v>
      </c>
      <c r="G87" s="134">
        <v>45990</v>
      </c>
      <c r="H87" s="1" t="s">
        <v>487</v>
      </c>
      <c r="I87" s="1" t="s">
        <v>613</v>
      </c>
      <c r="J87" s="1" t="s">
        <v>379</v>
      </c>
      <c r="K87" s="1"/>
    </row>
    <row r="88" spans="1:11" hidden="1" x14ac:dyDescent="0.25">
      <c r="A88" s="1" t="s">
        <v>51</v>
      </c>
      <c r="B88" s="1" t="s">
        <v>1064</v>
      </c>
      <c r="C88" s="1" t="s">
        <v>102</v>
      </c>
      <c r="D88" s="1" t="s">
        <v>1065</v>
      </c>
      <c r="E88" s="1" t="s">
        <v>96</v>
      </c>
      <c r="F88" s="134">
        <v>45925</v>
      </c>
      <c r="G88" s="134">
        <v>45968</v>
      </c>
      <c r="H88" s="1" t="s">
        <v>543</v>
      </c>
      <c r="I88" s="1" t="s">
        <v>386</v>
      </c>
      <c r="J88" s="1" t="s">
        <v>85</v>
      </c>
      <c r="K88" s="1"/>
    </row>
    <row r="89" spans="1:11" hidden="1" x14ac:dyDescent="0.25">
      <c r="A89" s="1" t="s">
        <v>51</v>
      </c>
      <c r="B89" s="1" t="s">
        <v>1066</v>
      </c>
      <c r="C89" s="1" t="s">
        <v>105</v>
      </c>
      <c r="D89" s="1" t="s">
        <v>1067</v>
      </c>
      <c r="E89" s="1" t="s">
        <v>96</v>
      </c>
      <c r="F89" s="134">
        <v>45925</v>
      </c>
      <c r="G89" s="134">
        <v>45968</v>
      </c>
      <c r="H89" s="1" t="s">
        <v>543</v>
      </c>
      <c r="I89" s="1" t="s">
        <v>386</v>
      </c>
      <c r="J89" s="1" t="s">
        <v>85</v>
      </c>
      <c r="K89" s="1"/>
    </row>
    <row r="90" spans="1:11" hidden="1" x14ac:dyDescent="0.25">
      <c r="A90" s="1" t="s">
        <v>51</v>
      </c>
      <c r="B90" s="1" t="s">
        <v>1068</v>
      </c>
      <c r="C90" s="1" t="s">
        <v>103</v>
      </c>
      <c r="D90" s="1" t="s">
        <v>1069</v>
      </c>
      <c r="E90" s="1" t="s">
        <v>96</v>
      </c>
      <c r="F90" s="134">
        <v>45925</v>
      </c>
      <c r="G90" s="134">
        <v>45968</v>
      </c>
      <c r="H90" s="1" t="s">
        <v>543</v>
      </c>
      <c r="I90" s="1" t="s">
        <v>386</v>
      </c>
      <c r="J90" s="1" t="s">
        <v>85</v>
      </c>
      <c r="K90" s="1"/>
    </row>
    <row r="91" spans="1:11" ht="26.4" hidden="1" x14ac:dyDescent="0.25">
      <c r="A91" s="138" t="s">
        <v>375</v>
      </c>
      <c r="B91" s="138" t="s">
        <v>1882</v>
      </c>
      <c r="C91" s="138" t="s">
        <v>104</v>
      </c>
      <c r="D91" s="138" t="s">
        <v>1883</v>
      </c>
      <c r="E91" s="138" t="s">
        <v>98</v>
      </c>
      <c r="F91" s="139">
        <v>45939</v>
      </c>
      <c r="G91" s="139">
        <v>45982</v>
      </c>
      <c r="H91" s="138" t="s">
        <v>445</v>
      </c>
      <c r="I91" s="138" t="s">
        <v>633</v>
      </c>
      <c r="J91" s="138" t="s">
        <v>488</v>
      </c>
      <c r="K91" s="140" t="s">
        <v>358</v>
      </c>
    </row>
    <row r="92" spans="1:11" ht="26.4" hidden="1" x14ac:dyDescent="0.25">
      <c r="A92" s="138" t="s">
        <v>375</v>
      </c>
      <c r="B92" s="138" t="s">
        <v>1072</v>
      </c>
      <c r="C92" s="138" t="s">
        <v>104</v>
      </c>
      <c r="D92" s="138" t="s">
        <v>1009</v>
      </c>
      <c r="E92" s="138" t="s">
        <v>98</v>
      </c>
      <c r="F92" s="139">
        <v>45940</v>
      </c>
      <c r="G92" s="139">
        <v>45981</v>
      </c>
      <c r="H92" s="138" t="s">
        <v>487</v>
      </c>
      <c r="I92" s="138" t="s">
        <v>633</v>
      </c>
      <c r="J92" s="138" t="s">
        <v>488</v>
      </c>
      <c r="K92" s="140" t="s">
        <v>358</v>
      </c>
    </row>
    <row r="93" spans="1:11" ht="66" hidden="1" x14ac:dyDescent="0.25">
      <c r="A93" s="1" t="s">
        <v>374</v>
      </c>
      <c r="B93" s="1" t="s">
        <v>1225</v>
      </c>
      <c r="C93" s="1" t="s">
        <v>105</v>
      </c>
      <c r="D93" s="1" t="s">
        <v>1226</v>
      </c>
      <c r="E93" s="1" t="s">
        <v>98</v>
      </c>
      <c r="F93" s="134">
        <v>45940</v>
      </c>
      <c r="G93" s="134">
        <v>46022</v>
      </c>
      <c r="H93" s="1" t="s">
        <v>445</v>
      </c>
      <c r="I93" s="1" t="s">
        <v>1224</v>
      </c>
      <c r="J93" s="135" t="s">
        <v>497</v>
      </c>
      <c r="K93" s="1"/>
    </row>
    <row r="94" spans="1:11" hidden="1" x14ac:dyDescent="0.25">
      <c r="A94" s="1" t="s">
        <v>51</v>
      </c>
      <c r="B94" s="1" t="s">
        <v>1227</v>
      </c>
      <c r="C94" s="1" t="s">
        <v>105</v>
      </c>
      <c r="D94" s="1" t="s">
        <v>1228</v>
      </c>
      <c r="E94" s="1" t="s">
        <v>98</v>
      </c>
      <c r="F94" s="134">
        <v>45943</v>
      </c>
      <c r="G94" s="1"/>
      <c r="H94" s="1" t="s">
        <v>457</v>
      </c>
      <c r="I94" s="1" t="s">
        <v>526</v>
      </c>
      <c r="J94" s="1" t="s">
        <v>1229</v>
      </c>
      <c r="K94" s="1"/>
    </row>
    <row r="95" spans="1:11" x14ac:dyDescent="0.25">
      <c r="A95" s="1" t="s">
        <v>375</v>
      </c>
      <c r="B95" s="1" t="s">
        <v>1423</v>
      </c>
      <c r="C95" s="1" t="s">
        <v>104</v>
      </c>
      <c r="D95" s="1" t="s">
        <v>1424</v>
      </c>
      <c r="E95" s="1" t="s">
        <v>107</v>
      </c>
      <c r="F95" s="134">
        <v>45945</v>
      </c>
      <c r="G95" s="134">
        <v>45988</v>
      </c>
      <c r="H95" s="1" t="s">
        <v>572</v>
      </c>
      <c r="I95" s="1" t="s">
        <v>631</v>
      </c>
      <c r="J95" s="1" t="s">
        <v>488</v>
      </c>
      <c r="K95" s="1"/>
    </row>
    <row r="96" spans="1:11" ht="26.4" hidden="1" x14ac:dyDescent="0.25">
      <c r="A96" s="138" t="s">
        <v>375</v>
      </c>
      <c r="B96" s="138" t="s">
        <v>1425</v>
      </c>
      <c r="C96" s="138" t="s">
        <v>104</v>
      </c>
      <c r="D96" s="138" t="s">
        <v>1426</v>
      </c>
      <c r="E96" s="138" t="s">
        <v>107</v>
      </c>
      <c r="F96" s="139">
        <v>45945</v>
      </c>
      <c r="G96" s="139">
        <v>45982</v>
      </c>
      <c r="H96" s="138" t="s">
        <v>540</v>
      </c>
      <c r="I96" s="138" t="s">
        <v>631</v>
      </c>
      <c r="J96" s="138" t="s">
        <v>488</v>
      </c>
      <c r="K96" s="140" t="s">
        <v>358</v>
      </c>
    </row>
    <row r="97" spans="1:11" x14ac:dyDescent="0.25">
      <c r="A97" s="1" t="s">
        <v>375</v>
      </c>
      <c r="B97" s="1" t="s">
        <v>1427</v>
      </c>
      <c r="C97" s="1" t="s">
        <v>105</v>
      </c>
      <c r="D97" s="1" t="s">
        <v>1428</v>
      </c>
      <c r="E97" s="1" t="s">
        <v>107</v>
      </c>
      <c r="F97" s="134">
        <v>45945</v>
      </c>
      <c r="G97" s="134">
        <v>45988</v>
      </c>
      <c r="H97" s="1" t="s">
        <v>572</v>
      </c>
      <c r="I97" s="1" t="s">
        <v>631</v>
      </c>
      <c r="J97" s="1" t="s">
        <v>488</v>
      </c>
      <c r="K97" s="1"/>
    </row>
    <row r="98" spans="1:11" ht="26.4" hidden="1" x14ac:dyDescent="0.25">
      <c r="A98" s="138" t="s">
        <v>375</v>
      </c>
      <c r="B98" s="138" t="s">
        <v>1429</v>
      </c>
      <c r="C98" s="138" t="s">
        <v>104</v>
      </c>
      <c r="D98" s="138" t="s">
        <v>1430</v>
      </c>
      <c r="E98" s="138" t="s">
        <v>107</v>
      </c>
      <c r="F98" s="139">
        <v>45945</v>
      </c>
      <c r="G98" s="139">
        <v>45981</v>
      </c>
      <c r="H98" s="138" t="s">
        <v>487</v>
      </c>
      <c r="I98" s="138" t="s">
        <v>631</v>
      </c>
      <c r="J98" s="138" t="s">
        <v>488</v>
      </c>
      <c r="K98" s="140" t="s">
        <v>358</v>
      </c>
    </row>
    <row r="99" spans="1:11" ht="39.6" hidden="1" x14ac:dyDescent="0.25">
      <c r="A99" s="1" t="s">
        <v>378</v>
      </c>
      <c r="B99" s="1" t="s">
        <v>1431</v>
      </c>
      <c r="C99" s="1" t="s">
        <v>102</v>
      </c>
      <c r="D99" s="1" t="s">
        <v>1432</v>
      </c>
      <c r="E99" s="1" t="s">
        <v>98</v>
      </c>
      <c r="F99" s="134">
        <v>45946</v>
      </c>
      <c r="G99" s="1"/>
      <c r="H99" s="1" t="s">
        <v>520</v>
      </c>
      <c r="I99" s="1" t="s">
        <v>1433</v>
      </c>
      <c r="J99" s="135" t="s">
        <v>560</v>
      </c>
      <c r="K99" s="1"/>
    </row>
    <row r="100" spans="1:11" ht="39.6" hidden="1" x14ac:dyDescent="0.25">
      <c r="A100" s="138" t="s">
        <v>378</v>
      </c>
      <c r="B100" s="138" t="s">
        <v>1434</v>
      </c>
      <c r="C100" s="138" t="s">
        <v>103</v>
      </c>
      <c r="D100" s="138" t="s">
        <v>1435</v>
      </c>
      <c r="E100" s="138" t="s">
        <v>107</v>
      </c>
      <c r="F100" s="139">
        <v>45946</v>
      </c>
      <c r="G100" s="139">
        <v>45981</v>
      </c>
      <c r="H100" s="138" t="s">
        <v>480</v>
      </c>
      <c r="I100" s="138" t="s">
        <v>1433</v>
      </c>
      <c r="J100" s="140" t="s">
        <v>560</v>
      </c>
      <c r="K100" s="140" t="s">
        <v>358</v>
      </c>
    </row>
    <row r="101" spans="1:11" ht="39.6" hidden="1" x14ac:dyDescent="0.25">
      <c r="A101" s="138" t="s">
        <v>378</v>
      </c>
      <c r="B101" s="138" t="s">
        <v>1436</v>
      </c>
      <c r="C101" s="138" t="s">
        <v>103</v>
      </c>
      <c r="D101" s="138" t="s">
        <v>1437</v>
      </c>
      <c r="E101" s="138" t="s">
        <v>107</v>
      </c>
      <c r="F101" s="139">
        <v>45946</v>
      </c>
      <c r="G101" s="139">
        <v>45981</v>
      </c>
      <c r="H101" s="138" t="s">
        <v>480</v>
      </c>
      <c r="I101" s="138" t="s">
        <v>1433</v>
      </c>
      <c r="J101" s="140" t="s">
        <v>560</v>
      </c>
      <c r="K101" s="140" t="s">
        <v>358</v>
      </c>
    </row>
    <row r="102" spans="1:11" ht="39.6" hidden="1" x14ac:dyDescent="0.25">
      <c r="A102" s="1" t="s">
        <v>378</v>
      </c>
      <c r="B102" s="1" t="s">
        <v>1438</v>
      </c>
      <c r="C102" s="1" t="s">
        <v>102</v>
      </c>
      <c r="D102" s="1" t="s">
        <v>1439</v>
      </c>
      <c r="E102" s="1" t="s">
        <v>98</v>
      </c>
      <c r="F102" s="134">
        <v>45946</v>
      </c>
      <c r="G102" s="1"/>
      <c r="H102" s="1" t="s">
        <v>520</v>
      </c>
      <c r="I102" s="1" t="s">
        <v>1433</v>
      </c>
      <c r="J102" s="135" t="s">
        <v>560</v>
      </c>
      <c r="K102" s="1"/>
    </row>
    <row r="103" spans="1:11" ht="39.6" hidden="1" x14ac:dyDescent="0.25">
      <c r="A103" s="1" t="s">
        <v>378</v>
      </c>
      <c r="B103" s="1" t="s">
        <v>1440</v>
      </c>
      <c r="C103" s="1" t="s">
        <v>102</v>
      </c>
      <c r="D103" s="1" t="s">
        <v>1441</v>
      </c>
      <c r="E103" s="1" t="s">
        <v>98</v>
      </c>
      <c r="F103" s="134">
        <v>45946</v>
      </c>
      <c r="G103" s="1"/>
      <c r="H103" s="1" t="s">
        <v>480</v>
      </c>
      <c r="I103" s="1" t="s">
        <v>1433</v>
      </c>
      <c r="J103" s="135" t="s">
        <v>560</v>
      </c>
      <c r="K103" s="1"/>
    </row>
    <row r="104" spans="1:11" ht="39.6" hidden="1" x14ac:dyDescent="0.25">
      <c r="A104" s="1" t="s">
        <v>378</v>
      </c>
      <c r="B104" s="1" t="s">
        <v>1442</v>
      </c>
      <c r="C104" s="1" t="s">
        <v>102</v>
      </c>
      <c r="D104" s="1" t="s">
        <v>1443</v>
      </c>
      <c r="E104" s="1" t="s">
        <v>98</v>
      </c>
      <c r="F104" s="134">
        <v>45946</v>
      </c>
      <c r="G104" s="1"/>
      <c r="H104" s="1" t="s">
        <v>520</v>
      </c>
      <c r="I104" s="1" t="s">
        <v>1433</v>
      </c>
      <c r="J104" s="135" t="s">
        <v>560</v>
      </c>
      <c r="K104" s="1"/>
    </row>
    <row r="105" spans="1:11" ht="39.6" hidden="1" x14ac:dyDescent="0.25">
      <c r="A105" s="1" t="s">
        <v>378</v>
      </c>
      <c r="B105" s="1" t="s">
        <v>1444</v>
      </c>
      <c r="C105" s="1" t="s">
        <v>102</v>
      </c>
      <c r="D105" s="1" t="s">
        <v>1445</v>
      </c>
      <c r="E105" s="1" t="s">
        <v>98</v>
      </c>
      <c r="F105" s="134">
        <v>45946</v>
      </c>
      <c r="G105" s="1"/>
      <c r="H105" s="1" t="s">
        <v>480</v>
      </c>
      <c r="I105" s="1" t="s">
        <v>1433</v>
      </c>
      <c r="J105" s="135" t="s">
        <v>560</v>
      </c>
      <c r="K105" s="1"/>
    </row>
    <row r="106" spans="1:11" ht="26.4" hidden="1" x14ac:dyDescent="0.25">
      <c r="A106" s="138" t="s">
        <v>375</v>
      </c>
      <c r="B106" s="138" t="s">
        <v>1446</v>
      </c>
      <c r="C106" s="138" t="s">
        <v>104</v>
      </c>
      <c r="D106" s="138" t="s">
        <v>1009</v>
      </c>
      <c r="E106" s="138" t="s">
        <v>98</v>
      </c>
      <c r="F106" s="139">
        <v>45947</v>
      </c>
      <c r="G106" s="139">
        <v>45981</v>
      </c>
      <c r="H106" s="138" t="s">
        <v>487</v>
      </c>
      <c r="I106" s="138" t="s">
        <v>633</v>
      </c>
      <c r="J106" s="138" t="s">
        <v>488</v>
      </c>
      <c r="K106" s="140" t="s">
        <v>358</v>
      </c>
    </row>
    <row r="107" spans="1:11" ht="26.4" hidden="1" x14ac:dyDescent="0.25">
      <c r="A107" s="138" t="s">
        <v>375</v>
      </c>
      <c r="B107" s="138" t="s">
        <v>1447</v>
      </c>
      <c r="C107" s="138" t="s">
        <v>104</v>
      </c>
      <c r="D107" s="138" t="s">
        <v>1009</v>
      </c>
      <c r="E107" s="138" t="s">
        <v>98</v>
      </c>
      <c r="F107" s="139">
        <v>45947</v>
      </c>
      <c r="G107" s="139">
        <v>45981</v>
      </c>
      <c r="H107" s="138" t="s">
        <v>487</v>
      </c>
      <c r="I107" s="138" t="s">
        <v>633</v>
      </c>
      <c r="J107" s="138" t="s">
        <v>583</v>
      </c>
      <c r="K107" s="140" t="s">
        <v>358</v>
      </c>
    </row>
    <row r="108" spans="1:11" hidden="1" x14ac:dyDescent="0.25">
      <c r="A108" s="1" t="s">
        <v>375</v>
      </c>
      <c r="B108" s="1" t="s">
        <v>1449</v>
      </c>
      <c r="C108" s="1" t="s">
        <v>105</v>
      </c>
      <c r="D108" s="1" t="s">
        <v>1450</v>
      </c>
      <c r="E108" s="1" t="s">
        <v>98</v>
      </c>
      <c r="F108" s="134">
        <v>45947</v>
      </c>
      <c r="G108" s="1"/>
      <c r="H108" s="1" t="s">
        <v>487</v>
      </c>
      <c r="I108" s="1" t="s">
        <v>898</v>
      </c>
      <c r="J108" s="1" t="s">
        <v>488</v>
      </c>
      <c r="K108" s="1"/>
    </row>
    <row r="109" spans="1:11" hidden="1" x14ac:dyDescent="0.25">
      <c r="A109" s="1" t="s">
        <v>375</v>
      </c>
      <c r="B109" s="1" t="s">
        <v>1451</v>
      </c>
      <c r="C109" s="1" t="s">
        <v>104</v>
      </c>
      <c r="D109" s="1" t="s">
        <v>1452</v>
      </c>
      <c r="E109" s="1" t="s">
        <v>98</v>
      </c>
      <c r="F109" s="134">
        <v>45947</v>
      </c>
      <c r="G109" s="1"/>
      <c r="H109" s="1" t="s">
        <v>487</v>
      </c>
      <c r="I109" s="1" t="s">
        <v>898</v>
      </c>
      <c r="J109" s="1" t="s">
        <v>488</v>
      </c>
      <c r="K109" s="1"/>
    </row>
    <row r="110" spans="1:11" hidden="1" x14ac:dyDescent="0.25">
      <c r="A110" s="1" t="s">
        <v>375</v>
      </c>
      <c r="B110" s="1" t="s">
        <v>1453</v>
      </c>
      <c r="C110" s="1" t="s">
        <v>104</v>
      </c>
      <c r="D110" s="1" t="s">
        <v>1454</v>
      </c>
      <c r="E110" s="1" t="s">
        <v>98</v>
      </c>
      <c r="F110" s="134">
        <v>45947</v>
      </c>
      <c r="G110" s="1"/>
      <c r="H110" s="1" t="s">
        <v>487</v>
      </c>
      <c r="I110" s="1" t="s">
        <v>898</v>
      </c>
      <c r="J110" s="1" t="s">
        <v>488</v>
      </c>
      <c r="K110" s="1"/>
    </row>
    <row r="111" spans="1:11" hidden="1" x14ac:dyDescent="0.25">
      <c r="A111" s="1" t="s">
        <v>375</v>
      </c>
      <c r="B111" s="1" t="s">
        <v>1455</v>
      </c>
      <c r="C111" s="1" t="s">
        <v>104</v>
      </c>
      <c r="D111" s="1" t="s">
        <v>1456</v>
      </c>
      <c r="E111" s="1" t="s">
        <v>98</v>
      </c>
      <c r="F111" s="134">
        <v>45947</v>
      </c>
      <c r="G111" s="1"/>
      <c r="H111" s="1" t="s">
        <v>487</v>
      </c>
      <c r="I111" s="1" t="s">
        <v>898</v>
      </c>
      <c r="J111" s="1" t="s">
        <v>488</v>
      </c>
      <c r="K111" s="1"/>
    </row>
    <row r="112" spans="1:11" hidden="1" x14ac:dyDescent="0.25">
      <c r="A112" s="1" t="s">
        <v>375</v>
      </c>
      <c r="B112" s="1" t="s">
        <v>1457</v>
      </c>
      <c r="C112" s="1" t="s">
        <v>105</v>
      </c>
      <c r="D112" s="1" t="s">
        <v>1458</v>
      </c>
      <c r="E112" s="1" t="s">
        <v>98</v>
      </c>
      <c r="F112" s="134">
        <v>45947</v>
      </c>
      <c r="G112" s="1"/>
      <c r="H112" s="1" t="s">
        <v>487</v>
      </c>
      <c r="I112" s="1" t="s">
        <v>898</v>
      </c>
      <c r="J112" s="1" t="s">
        <v>488</v>
      </c>
      <c r="K112" s="1"/>
    </row>
    <row r="113" spans="1:11" hidden="1" x14ac:dyDescent="0.25">
      <c r="A113" s="1" t="s">
        <v>375</v>
      </c>
      <c r="B113" s="1" t="s">
        <v>1459</v>
      </c>
      <c r="C113" s="1" t="s">
        <v>104</v>
      </c>
      <c r="D113" s="1" t="s">
        <v>1460</v>
      </c>
      <c r="E113" s="1" t="s">
        <v>98</v>
      </c>
      <c r="F113" s="134">
        <v>45947</v>
      </c>
      <c r="G113" s="1"/>
      <c r="H113" s="1" t="s">
        <v>487</v>
      </c>
      <c r="I113" s="1" t="s">
        <v>898</v>
      </c>
      <c r="J113" s="1" t="s">
        <v>488</v>
      </c>
      <c r="K113" s="1"/>
    </row>
    <row r="114" spans="1:11" hidden="1" x14ac:dyDescent="0.25">
      <c r="A114" s="1" t="s">
        <v>375</v>
      </c>
      <c r="B114" s="1" t="s">
        <v>1461</v>
      </c>
      <c r="C114" s="1" t="s">
        <v>105</v>
      </c>
      <c r="D114" s="1" t="s">
        <v>1462</v>
      </c>
      <c r="E114" s="1" t="s">
        <v>98</v>
      </c>
      <c r="F114" s="134">
        <v>45947</v>
      </c>
      <c r="G114" s="1"/>
      <c r="H114" s="1" t="s">
        <v>487</v>
      </c>
      <c r="I114" s="1" t="s">
        <v>898</v>
      </c>
      <c r="J114" s="1" t="s">
        <v>488</v>
      </c>
      <c r="K114" s="1"/>
    </row>
    <row r="115" spans="1:11" hidden="1" x14ac:dyDescent="0.25">
      <c r="A115" s="1" t="s">
        <v>375</v>
      </c>
      <c r="B115" s="1" t="s">
        <v>1463</v>
      </c>
      <c r="C115" s="1" t="s">
        <v>105</v>
      </c>
      <c r="D115" s="1" t="s">
        <v>1464</v>
      </c>
      <c r="E115" s="1" t="s">
        <v>98</v>
      </c>
      <c r="F115" s="134">
        <v>45947</v>
      </c>
      <c r="G115" s="1"/>
      <c r="H115" s="1" t="s">
        <v>487</v>
      </c>
      <c r="I115" s="1" t="s">
        <v>898</v>
      </c>
      <c r="J115" s="1" t="s">
        <v>488</v>
      </c>
      <c r="K115" s="1"/>
    </row>
    <row r="116" spans="1:11" hidden="1" x14ac:dyDescent="0.25">
      <c r="A116" s="1" t="s">
        <v>375</v>
      </c>
      <c r="B116" s="1" t="s">
        <v>1465</v>
      </c>
      <c r="C116" s="1" t="s">
        <v>104</v>
      </c>
      <c r="D116" s="1" t="s">
        <v>1466</v>
      </c>
      <c r="E116" s="1" t="s">
        <v>98</v>
      </c>
      <c r="F116" s="134">
        <v>45947</v>
      </c>
      <c r="G116" s="1"/>
      <c r="H116" s="1" t="s">
        <v>487</v>
      </c>
      <c r="I116" s="1" t="s">
        <v>898</v>
      </c>
      <c r="J116" s="1" t="s">
        <v>488</v>
      </c>
      <c r="K116" s="1"/>
    </row>
    <row r="117" spans="1:11" hidden="1" x14ac:dyDescent="0.25">
      <c r="A117" s="1" t="s">
        <v>375</v>
      </c>
      <c r="B117" s="1" t="s">
        <v>1467</v>
      </c>
      <c r="C117" s="1" t="s">
        <v>105</v>
      </c>
      <c r="D117" s="1" t="s">
        <v>1468</v>
      </c>
      <c r="E117" s="1" t="s">
        <v>98</v>
      </c>
      <c r="F117" s="134">
        <v>45947</v>
      </c>
      <c r="G117" s="1"/>
      <c r="H117" s="1" t="s">
        <v>487</v>
      </c>
      <c r="I117" s="1" t="s">
        <v>898</v>
      </c>
      <c r="J117" s="1" t="s">
        <v>488</v>
      </c>
      <c r="K117" s="1"/>
    </row>
    <row r="118" spans="1:11" hidden="1" x14ac:dyDescent="0.25">
      <c r="A118" s="1" t="s">
        <v>51</v>
      </c>
      <c r="B118" s="1" t="s">
        <v>1470</v>
      </c>
      <c r="C118" s="1" t="s">
        <v>105</v>
      </c>
      <c r="D118" s="1" t="s">
        <v>1471</v>
      </c>
      <c r="E118" s="1" t="s">
        <v>98</v>
      </c>
      <c r="F118" s="134">
        <v>45951</v>
      </c>
      <c r="G118" s="1"/>
      <c r="H118" s="1" t="s">
        <v>468</v>
      </c>
      <c r="I118" s="1" t="s">
        <v>1469</v>
      </c>
      <c r="J118" s="1" t="s">
        <v>1248</v>
      </c>
      <c r="K118" s="1"/>
    </row>
    <row r="119" spans="1:11" hidden="1" x14ac:dyDescent="0.25">
      <c r="A119" s="1" t="s">
        <v>51</v>
      </c>
      <c r="B119" s="1" t="s">
        <v>1472</v>
      </c>
      <c r="C119" s="1" t="s">
        <v>103</v>
      </c>
      <c r="D119" s="1" t="s">
        <v>1473</v>
      </c>
      <c r="E119" s="1" t="s">
        <v>98</v>
      </c>
      <c r="F119" s="134">
        <v>45951</v>
      </c>
      <c r="G119" s="1"/>
      <c r="H119" s="1" t="s">
        <v>468</v>
      </c>
      <c r="I119" s="1" t="s">
        <v>1469</v>
      </c>
      <c r="J119" s="1" t="s">
        <v>1248</v>
      </c>
      <c r="K119" s="1"/>
    </row>
    <row r="120" spans="1:11" hidden="1" x14ac:dyDescent="0.25">
      <c r="A120" s="1" t="s">
        <v>51</v>
      </c>
      <c r="B120" s="1" t="s">
        <v>1474</v>
      </c>
      <c r="C120" s="1" t="s">
        <v>102</v>
      </c>
      <c r="D120" s="1" t="s">
        <v>1475</v>
      </c>
      <c r="E120" s="1" t="s">
        <v>98</v>
      </c>
      <c r="F120" s="134">
        <v>45951</v>
      </c>
      <c r="G120" s="1"/>
      <c r="H120" s="1" t="s">
        <v>468</v>
      </c>
      <c r="I120" s="1" t="s">
        <v>1469</v>
      </c>
      <c r="J120" s="1" t="s">
        <v>1248</v>
      </c>
      <c r="K120" s="1"/>
    </row>
    <row r="121" spans="1:11" hidden="1" x14ac:dyDescent="0.25">
      <c r="A121" s="1" t="s">
        <v>51</v>
      </c>
      <c r="B121" s="1" t="s">
        <v>1476</v>
      </c>
      <c r="C121" s="1" t="s">
        <v>102</v>
      </c>
      <c r="D121" s="1" t="s">
        <v>1477</v>
      </c>
      <c r="E121" s="1" t="s">
        <v>98</v>
      </c>
      <c r="F121" s="134">
        <v>45951</v>
      </c>
      <c r="G121" s="1"/>
      <c r="H121" s="1" t="s">
        <v>468</v>
      </c>
      <c r="I121" s="1" t="s">
        <v>1469</v>
      </c>
      <c r="J121" s="1" t="s">
        <v>1248</v>
      </c>
      <c r="K121" s="1"/>
    </row>
    <row r="122" spans="1:11" x14ac:dyDescent="0.25">
      <c r="A122" s="1" t="s">
        <v>51</v>
      </c>
      <c r="B122" s="1" t="s">
        <v>1628</v>
      </c>
      <c r="C122" s="1" t="s">
        <v>106</v>
      </c>
      <c r="D122" s="1" t="s">
        <v>1629</v>
      </c>
      <c r="E122" s="1" t="s">
        <v>107</v>
      </c>
      <c r="F122" s="134">
        <v>45953</v>
      </c>
      <c r="G122" s="134">
        <v>45989</v>
      </c>
      <c r="H122" s="1" t="s">
        <v>527</v>
      </c>
      <c r="I122" s="1" t="s">
        <v>1630</v>
      </c>
      <c r="J122" s="1" t="s">
        <v>1631</v>
      </c>
      <c r="K122" s="1"/>
    </row>
    <row r="123" spans="1:11" hidden="1" x14ac:dyDescent="0.25">
      <c r="A123" s="1" t="s">
        <v>374</v>
      </c>
      <c r="B123" s="1" t="s">
        <v>1481</v>
      </c>
      <c r="C123" s="1" t="s">
        <v>104</v>
      </c>
      <c r="D123" s="1" t="s">
        <v>1009</v>
      </c>
      <c r="E123" s="1" t="s">
        <v>98</v>
      </c>
      <c r="F123" s="134">
        <v>45954</v>
      </c>
      <c r="G123" s="134">
        <v>46022</v>
      </c>
      <c r="H123" s="1" t="s">
        <v>445</v>
      </c>
      <c r="I123" s="1" t="s">
        <v>633</v>
      </c>
      <c r="J123" s="1" t="s">
        <v>379</v>
      </c>
      <c r="K123" s="1"/>
    </row>
    <row r="124" spans="1:11" hidden="1" x14ac:dyDescent="0.25">
      <c r="A124" s="1" t="s">
        <v>375</v>
      </c>
      <c r="B124" s="1" t="s">
        <v>1482</v>
      </c>
      <c r="C124" s="1" t="s">
        <v>104</v>
      </c>
      <c r="D124" s="1" t="s">
        <v>1483</v>
      </c>
      <c r="E124" s="1" t="s">
        <v>98</v>
      </c>
      <c r="F124" s="134">
        <v>45956</v>
      </c>
      <c r="G124" s="1"/>
      <c r="H124" s="1" t="s">
        <v>487</v>
      </c>
      <c r="I124" s="1" t="s">
        <v>1484</v>
      </c>
      <c r="J124" s="1" t="s">
        <v>1018</v>
      </c>
      <c r="K124" s="1"/>
    </row>
    <row r="125" spans="1:11" hidden="1" x14ac:dyDescent="0.25">
      <c r="A125" s="1" t="s">
        <v>375</v>
      </c>
      <c r="B125" s="1" t="s">
        <v>1485</v>
      </c>
      <c r="C125" s="1" t="s">
        <v>104</v>
      </c>
      <c r="D125" s="1" t="s">
        <v>1486</v>
      </c>
      <c r="E125" s="1" t="s">
        <v>98</v>
      </c>
      <c r="F125" s="134">
        <v>45956</v>
      </c>
      <c r="G125" s="1"/>
      <c r="H125" s="1" t="s">
        <v>487</v>
      </c>
      <c r="I125" s="1" t="s">
        <v>1484</v>
      </c>
      <c r="J125" s="1" t="s">
        <v>1018</v>
      </c>
      <c r="K125" s="1"/>
    </row>
    <row r="126" spans="1:11" hidden="1" x14ac:dyDescent="0.25">
      <c r="A126" s="1" t="s">
        <v>51</v>
      </c>
      <c r="B126" s="1" t="s">
        <v>1632</v>
      </c>
      <c r="C126" s="1" t="s">
        <v>102</v>
      </c>
      <c r="D126" s="1" t="s">
        <v>2247</v>
      </c>
      <c r="E126" s="1" t="s">
        <v>98</v>
      </c>
      <c r="F126" s="134">
        <v>45958</v>
      </c>
      <c r="G126" s="1"/>
      <c r="H126" s="1" t="s">
        <v>509</v>
      </c>
      <c r="I126" s="1" t="s">
        <v>1071</v>
      </c>
      <c r="J126" s="1" t="s">
        <v>85</v>
      </c>
      <c r="K126" s="1"/>
    </row>
    <row r="127" spans="1:11" hidden="1" x14ac:dyDescent="0.25">
      <c r="A127" s="1" t="s">
        <v>51</v>
      </c>
      <c r="B127" s="1" t="s">
        <v>1633</v>
      </c>
      <c r="C127" s="1" t="s">
        <v>105</v>
      </c>
      <c r="D127" s="1" t="s">
        <v>2248</v>
      </c>
      <c r="E127" s="1" t="s">
        <v>98</v>
      </c>
      <c r="F127" s="134">
        <v>45958</v>
      </c>
      <c r="G127" s="1"/>
      <c r="H127" s="1" t="s">
        <v>509</v>
      </c>
      <c r="I127" s="1" t="s">
        <v>1071</v>
      </c>
      <c r="J127" s="1" t="s">
        <v>85</v>
      </c>
      <c r="K127" s="1"/>
    </row>
    <row r="128" spans="1:11" hidden="1" x14ac:dyDescent="0.25">
      <c r="A128" s="1" t="s">
        <v>51</v>
      </c>
      <c r="B128" s="1" t="s">
        <v>1634</v>
      </c>
      <c r="C128" s="1" t="s">
        <v>103</v>
      </c>
      <c r="D128" s="1" t="s">
        <v>2249</v>
      </c>
      <c r="E128" s="1" t="s">
        <v>98</v>
      </c>
      <c r="F128" s="134">
        <v>45958</v>
      </c>
      <c r="G128" s="1"/>
      <c r="H128" s="1" t="s">
        <v>509</v>
      </c>
      <c r="I128" s="1" t="s">
        <v>1071</v>
      </c>
      <c r="J128" s="1" t="s">
        <v>85</v>
      </c>
      <c r="K128" s="1"/>
    </row>
    <row r="129" spans="1:11" hidden="1" x14ac:dyDescent="0.25">
      <c r="A129" s="1" t="s">
        <v>51</v>
      </c>
      <c r="B129" s="1" t="s">
        <v>1635</v>
      </c>
      <c r="C129" s="1" t="s">
        <v>102</v>
      </c>
      <c r="D129" s="1" t="s">
        <v>421</v>
      </c>
      <c r="E129" s="1" t="s">
        <v>98</v>
      </c>
      <c r="F129" s="134">
        <v>45958</v>
      </c>
      <c r="G129" s="1"/>
      <c r="H129" s="1" t="s">
        <v>447</v>
      </c>
      <c r="I129" s="1" t="s">
        <v>1071</v>
      </c>
      <c r="J129" s="1" t="s">
        <v>85</v>
      </c>
      <c r="K129" s="1"/>
    </row>
    <row r="130" spans="1:11" hidden="1" x14ac:dyDescent="0.25">
      <c r="A130" s="1" t="s">
        <v>51</v>
      </c>
      <c r="B130" s="1" t="s">
        <v>1636</v>
      </c>
      <c r="C130" s="1" t="s">
        <v>106</v>
      </c>
      <c r="D130" s="1" t="s">
        <v>1637</v>
      </c>
      <c r="E130" s="1" t="s">
        <v>98</v>
      </c>
      <c r="F130" s="134">
        <v>45960</v>
      </c>
      <c r="G130" s="134">
        <v>46022</v>
      </c>
      <c r="H130" s="1" t="s">
        <v>443</v>
      </c>
      <c r="I130" s="1" t="s">
        <v>1071</v>
      </c>
      <c r="J130" s="1"/>
      <c r="K130" s="1"/>
    </row>
    <row r="131" spans="1:11" hidden="1" x14ac:dyDescent="0.25">
      <c r="A131" s="1" t="s">
        <v>51</v>
      </c>
      <c r="B131" s="1" t="s">
        <v>1638</v>
      </c>
      <c r="C131" s="1" t="s">
        <v>102</v>
      </c>
      <c r="D131" s="1" t="s">
        <v>1639</v>
      </c>
      <c r="E131" s="1" t="s">
        <v>98</v>
      </c>
      <c r="F131" s="134">
        <v>45960</v>
      </c>
      <c r="G131" s="1"/>
      <c r="H131" s="1" t="s">
        <v>577</v>
      </c>
      <c r="I131" s="1" t="s">
        <v>1615</v>
      </c>
      <c r="J131" s="1" t="s">
        <v>2041</v>
      </c>
      <c r="K131" s="1"/>
    </row>
    <row r="132" spans="1:11" ht="39.6" hidden="1" x14ac:dyDescent="0.25">
      <c r="A132" s="142" t="s">
        <v>51</v>
      </c>
      <c r="B132" s="142" t="s">
        <v>1640</v>
      </c>
      <c r="C132" s="142" t="s">
        <v>105</v>
      </c>
      <c r="D132" s="142" t="s">
        <v>1641</v>
      </c>
      <c r="E132" s="142" t="s">
        <v>107</v>
      </c>
      <c r="F132" s="143">
        <v>45960</v>
      </c>
      <c r="G132" s="143">
        <v>46018</v>
      </c>
      <c r="H132" s="142" t="s">
        <v>577</v>
      </c>
      <c r="I132" s="142" t="s">
        <v>1615</v>
      </c>
      <c r="J132" s="142" t="s">
        <v>2041</v>
      </c>
      <c r="K132" s="144" t="s">
        <v>1886</v>
      </c>
    </row>
    <row r="133" spans="1:11" hidden="1" x14ac:dyDescent="0.25">
      <c r="A133" s="1" t="s">
        <v>51</v>
      </c>
      <c r="B133" s="1" t="s">
        <v>1642</v>
      </c>
      <c r="C133" s="1" t="s">
        <v>103</v>
      </c>
      <c r="D133" s="1" t="s">
        <v>1643</v>
      </c>
      <c r="E133" s="1" t="s">
        <v>98</v>
      </c>
      <c r="F133" s="134">
        <v>45960</v>
      </c>
      <c r="G133" s="1"/>
      <c r="H133" s="1" t="s">
        <v>577</v>
      </c>
      <c r="I133" s="1" t="s">
        <v>1615</v>
      </c>
      <c r="J133" s="1" t="s">
        <v>2041</v>
      </c>
      <c r="K133" s="1"/>
    </row>
    <row r="134" spans="1:11" hidden="1" x14ac:dyDescent="0.25">
      <c r="A134" s="1" t="s">
        <v>51</v>
      </c>
      <c r="B134" s="1" t="s">
        <v>1644</v>
      </c>
      <c r="C134" s="1" t="s">
        <v>102</v>
      </c>
      <c r="D134" s="1" t="s">
        <v>1645</v>
      </c>
      <c r="E134" s="1" t="s">
        <v>98</v>
      </c>
      <c r="F134" s="134">
        <v>45960</v>
      </c>
      <c r="G134" s="1"/>
      <c r="H134" s="1" t="s">
        <v>577</v>
      </c>
      <c r="I134" s="1" t="s">
        <v>1615</v>
      </c>
      <c r="J134" s="1" t="s">
        <v>2041</v>
      </c>
      <c r="K134" s="1"/>
    </row>
    <row r="135" spans="1:11" x14ac:dyDescent="0.25">
      <c r="A135" s="1" t="s">
        <v>51</v>
      </c>
      <c r="B135" s="1" t="s">
        <v>1646</v>
      </c>
      <c r="C135" s="1" t="s">
        <v>1647</v>
      </c>
      <c r="D135" s="1" t="s">
        <v>1648</v>
      </c>
      <c r="E135" s="1" t="s">
        <v>98</v>
      </c>
      <c r="F135" s="134">
        <v>45961</v>
      </c>
      <c r="G135" s="134">
        <v>45989</v>
      </c>
      <c r="H135" s="1" t="s">
        <v>577</v>
      </c>
      <c r="I135" s="1" t="s">
        <v>1649</v>
      </c>
      <c r="J135" s="1"/>
      <c r="K135" s="1"/>
    </row>
    <row r="136" spans="1:11" x14ac:dyDescent="0.25">
      <c r="A136" s="1" t="s">
        <v>51</v>
      </c>
      <c r="B136" s="1" t="s">
        <v>1650</v>
      </c>
      <c r="C136" s="1" t="s">
        <v>104</v>
      </c>
      <c r="D136" s="1" t="s">
        <v>1651</v>
      </c>
      <c r="E136" s="1" t="s">
        <v>98</v>
      </c>
      <c r="F136" s="134">
        <v>45961</v>
      </c>
      <c r="G136" s="134">
        <v>45989</v>
      </c>
      <c r="H136" s="1" t="s">
        <v>577</v>
      </c>
      <c r="I136" s="1" t="s">
        <v>1649</v>
      </c>
      <c r="J136" s="1"/>
      <c r="K136" s="1"/>
    </row>
    <row r="137" spans="1:11" x14ac:dyDescent="0.25">
      <c r="A137" s="1" t="s">
        <v>51</v>
      </c>
      <c r="B137" s="1" t="s">
        <v>1652</v>
      </c>
      <c r="C137" s="1" t="s">
        <v>1647</v>
      </c>
      <c r="D137" s="1" t="s">
        <v>1653</v>
      </c>
      <c r="E137" s="1" t="s">
        <v>98</v>
      </c>
      <c r="F137" s="134">
        <v>45961</v>
      </c>
      <c r="G137" s="134">
        <v>45989</v>
      </c>
      <c r="H137" s="1" t="s">
        <v>577</v>
      </c>
      <c r="I137" s="1" t="s">
        <v>1649</v>
      </c>
      <c r="J137" s="1"/>
      <c r="K137" s="1"/>
    </row>
    <row r="138" spans="1:11" x14ac:dyDescent="0.25">
      <c r="A138" s="1" t="s">
        <v>51</v>
      </c>
      <c r="B138" s="1" t="s">
        <v>1654</v>
      </c>
      <c r="C138" s="1" t="s">
        <v>1647</v>
      </c>
      <c r="D138" s="1" t="s">
        <v>1655</v>
      </c>
      <c r="E138" s="1" t="s">
        <v>98</v>
      </c>
      <c r="F138" s="134">
        <v>45961</v>
      </c>
      <c r="G138" s="134">
        <v>45989</v>
      </c>
      <c r="H138" s="1" t="s">
        <v>577</v>
      </c>
      <c r="I138" s="1" t="s">
        <v>1649</v>
      </c>
      <c r="J138" s="1"/>
      <c r="K138" s="1"/>
    </row>
    <row r="139" spans="1:11" ht="39.6" hidden="1" x14ac:dyDescent="0.25">
      <c r="A139" s="142" t="s">
        <v>51</v>
      </c>
      <c r="B139" s="142" t="s">
        <v>1884</v>
      </c>
      <c r="C139" s="142" t="s">
        <v>102</v>
      </c>
      <c r="D139" s="142" t="s">
        <v>1885</v>
      </c>
      <c r="E139" s="142" t="s">
        <v>107</v>
      </c>
      <c r="F139" s="143">
        <v>45964</v>
      </c>
      <c r="G139" s="143">
        <v>46059</v>
      </c>
      <c r="H139" s="142" t="s">
        <v>564</v>
      </c>
      <c r="I139" s="142" t="s">
        <v>1448</v>
      </c>
      <c r="J139" s="142" t="s">
        <v>1229</v>
      </c>
      <c r="K139" s="144" t="s">
        <v>1886</v>
      </c>
    </row>
    <row r="140" spans="1:11" ht="39.6" hidden="1" x14ac:dyDescent="0.25">
      <c r="A140" s="142" t="s">
        <v>51</v>
      </c>
      <c r="B140" s="142" t="s">
        <v>1887</v>
      </c>
      <c r="C140" s="142" t="s">
        <v>103</v>
      </c>
      <c r="D140" s="142" t="s">
        <v>1888</v>
      </c>
      <c r="E140" s="142" t="s">
        <v>107</v>
      </c>
      <c r="F140" s="143">
        <v>45964</v>
      </c>
      <c r="G140" s="143">
        <v>46059</v>
      </c>
      <c r="H140" s="142" t="s">
        <v>564</v>
      </c>
      <c r="I140" s="142" t="s">
        <v>1448</v>
      </c>
      <c r="J140" s="142" t="s">
        <v>1229</v>
      </c>
      <c r="K140" s="144" t="s">
        <v>1886</v>
      </c>
    </row>
    <row r="141" spans="1:11" ht="39.6" hidden="1" x14ac:dyDescent="0.25">
      <c r="A141" s="142" t="s">
        <v>51</v>
      </c>
      <c r="B141" s="142" t="s">
        <v>1889</v>
      </c>
      <c r="C141" s="142" t="s">
        <v>102</v>
      </c>
      <c r="D141" s="142" t="s">
        <v>1890</v>
      </c>
      <c r="E141" s="142" t="s">
        <v>107</v>
      </c>
      <c r="F141" s="143">
        <v>45964</v>
      </c>
      <c r="G141" s="143">
        <v>46059</v>
      </c>
      <c r="H141" s="142" t="s">
        <v>564</v>
      </c>
      <c r="I141" s="142" t="s">
        <v>1448</v>
      </c>
      <c r="J141" s="142" t="s">
        <v>1229</v>
      </c>
      <c r="K141" s="144" t="s">
        <v>1886</v>
      </c>
    </row>
    <row r="142" spans="1:11" ht="39.6" hidden="1" x14ac:dyDescent="0.25">
      <c r="A142" s="142" t="s">
        <v>51</v>
      </c>
      <c r="B142" s="142" t="s">
        <v>1891</v>
      </c>
      <c r="C142" s="142" t="s">
        <v>103</v>
      </c>
      <c r="D142" s="142" t="s">
        <v>1892</v>
      </c>
      <c r="E142" s="142" t="s">
        <v>107</v>
      </c>
      <c r="F142" s="143">
        <v>45964</v>
      </c>
      <c r="G142" s="143">
        <v>46059</v>
      </c>
      <c r="H142" s="142" t="s">
        <v>564</v>
      </c>
      <c r="I142" s="142" t="s">
        <v>1448</v>
      </c>
      <c r="J142" s="142" t="s">
        <v>1229</v>
      </c>
      <c r="K142" s="144" t="s">
        <v>1886</v>
      </c>
    </row>
    <row r="143" spans="1:11" hidden="1" x14ac:dyDescent="0.25">
      <c r="A143" s="1" t="s">
        <v>51</v>
      </c>
      <c r="B143" s="1" t="s">
        <v>1893</v>
      </c>
      <c r="C143" s="1" t="s">
        <v>106</v>
      </c>
      <c r="D143" s="1" t="s">
        <v>1894</v>
      </c>
      <c r="E143" s="1" t="s">
        <v>98</v>
      </c>
      <c r="F143" s="134">
        <v>45964</v>
      </c>
      <c r="G143" s="1"/>
      <c r="H143" s="1" t="s">
        <v>457</v>
      </c>
      <c r="I143" s="1" t="s">
        <v>1469</v>
      </c>
      <c r="J143" s="1" t="s">
        <v>85</v>
      </c>
      <c r="K143" s="1"/>
    </row>
    <row r="144" spans="1:11" x14ac:dyDescent="0.25">
      <c r="A144" s="1" t="s">
        <v>51</v>
      </c>
      <c r="B144" s="1" t="s">
        <v>1895</v>
      </c>
      <c r="C144" s="1" t="s">
        <v>106</v>
      </c>
      <c r="D144" s="1" t="s">
        <v>1896</v>
      </c>
      <c r="E144" s="1" t="s">
        <v>107</v>
      </c>
      <c r="F144" s="134">
        <v>45964</v>
      </c>
      <c r="G144" s="134">
        <v>45989</v>
      </c>
      <c r="H144" s="1" t="s">
        <v>387</v>
      </c>
      <c r="I144" s="1" t="s">
        <v>1897</v>
      </c>
      <c r="J144" s="1" t="s">
        <v>85</v>
      </c>
      <c r="K144" s="1"/>
    </row>
    <row r="145" spans="1:11" hidden="1" x14ac:dyDescent="0.25">
      <c r="A145" s="1" t="s">
        <v>384</v>
      </c>
      <c r="B145" s="1" t="s">
        <v>1898</v>
      </c>
      <c r="C145" s="1" t="s">
        <v>104</v>
      </c>
      <c r="D145" s="1" t="s">
        <v>1899</v>
      </c>
      <c r="E145" s="1" t="s">
        <v>98</v>
      </c>
      <c r="F145" s="134">
        <v>45965</v>
      </c>
      <c r="G145" s="1"/>
      <c r="H145" s="1" t="s">
        <v>520</v>
      </c>
      <c r="I145" s="1" t="s">
        <v>888</v>
      </c>
      <c r="J145" s="1" t="s">
        <v>1238</v>
      </c>
      <c r="K145" s="1"/>
    </row>
    <row r="146" spans="1:11" hidden="1" x14ac:dyDescent="0.25">
      <c r="A146" s="1" t="s">
        <v>384</v>
      </c>
      <c r="B146" s="1" t="s">
        <v>1900</v>
      </c>
      <c r="C146" s="1" t="s">
        <v>102</v>
      </c>
      <c r="D146" s="1" t="s">
        <v>1901</v>
      </c>
      <c r="E146" s="1" t="s">
        <v>98</v>
      </c>
      <c r="F146" s="134">
        <v>45965</v>
      </c>
      <c r="G146" s="1"/>
      <c r="H146" s="1" t="s">
        <v>520</v>
      </c>
      <c r="I146" s="1" t="s">
        <v>888</v>
      </c>
      <c r="J146" s="1" t="s">
        <v>1238</v>
      </c>
      <c r="K146" s="1"/>
    </row>
    <row r="147" spans="1:11" hidden="1" x14ac:dyDescent="0.25">
      <c r="A147" s="1" t="s">
        <v>384</v>
      </c>
      <c r="B147" s="1" t="s">
        <v>1902</v>
      </c>
      <c r="C147" s="1" t="s">
        <v>105</v>
      </c>
      <c r="D147" s="1" t="s">
        <v>1903</v>
      </c>
      <c r="E147" s="1" t="s">
        <v>98</v>
      </c>
      <c r="F147" s="134">
        <v>45965</v>
      </c>
      <c r="G147" s="1"/>
      <c r="H147" s="1" t="s">
        <v>520</v>
      </c>
      <c r="I147" s="1" t="s">
        <v>888</v>
      </c>
      <c r="J147" s="1" t="s">
        <v>1238</v>
      </c>
      <c r="K147" s="1"/>
    </row>
    <row r="148" spans="1:11" hidden="1" x14ac:dyDescent="0.25">
      <c r="A148" s="1" t="s">
        <v>374</v>
      </c>
      <c r="B148" s="1" t="s">
        <v>1905</v>
      </c>
      <c r="C148" s="1" t="s">
        <v>104</v>
      </c>
      <c r="D148" s="1" t="s">
        <v>1906</v>
      </c>
      <c r="E148" s="1" t="s">
        <v>98</v>
      </c>
      <c r="F148" s="134">
        <v>45965</v>
      </c>
      <c r="G148" s="1"/>
      <c r="H148" s="1" t="s">
        <v>525</v>
      </c>
      <c r="I148" s="1" t="s">
        <v>1907</v>
      </c>
      <c r="J148" s="1" t="s">
        <v>452</v>
      </c>
      <c r="K148" s="1"/>
    </row>
    <row r="149" spans="1:11" ht="52.8" hidden="1" x14ac:dyDescent="0.25">
      <c r="A149" s="138" t="s">
        <v>51</v>
      </c>
      <c r="B149" s="138" t="s">
        <v>1908</v>
      </c>
      <c r="C149" s="138" t="s">
        <v>102</v>
      </c>
      <c r="D149" s="138" t="s">
        <v>1909</v>
      </c>
      <c r="E149" s="138" t="s">
        <v>107</v>
      </c>
      <c r="F149" s="139">
        <v>45966</v>
      </c>
      <c r="G149" s="139">
        <v>45982</v>
      </c>
      <c r="H149" s="138" t="s">
        <v>561</v>
      </c>
      <c r="I149" s="138" t="s">
        <v>1414</v>
      </c>
      <c r="J149" s="138" t="s">
        <v>359</v>
      </c>
      <c r="K149" s="140" t="s">
        <v>2250</v>
      </c>
    </row>
    <row r="150" spans="1:11" ht="26.4" hidden="1" x14ac:dyDescent="0.25">
      <c r="A150" s="138" t="s">
        <v>51</v>
      </c>
      <c r="B150" s="138" t="s">
        <v>1910</v>
      </c>
      <c r="C150" s="138" t="s">
        <v>105</v>
      </c>
      <c r="D150" s="138" t="s">
        <v>1911</v>
      </c>
      <c r="E150" s="138" t="s">
        <v>107</v>
      </c>
      <c r="F150" s="139">
        <v>45966</v>
      </c>
      <c r="G150" s="139">
        <v>45982</v>
      </c>
      <c r="H150" s="138" t="s">
        <v>561</v>
      </c>
      <c r="I150" s="138" t="s">
        <v>1414</v>
      </c>
      <c r="J150" s="138" t="s">
        <v>359</v>
      </c>
      <c r="K150" s="140" t="s">
        <v>358</v>
      </c>
    </row>
    <row r="151" spans="1:11" ht="26.4" hidden="1" x14ac:dyDescent="0.25">
      <c r="A151" s="138" t="s">
        <v>51</v>
      </c>
      <c r="B151" s="138" t="s">
        <v>1912</v>
      </c>
      <c r="C151" s="138" t="s">
        <v>103</v>
      </c>
      <c r="D151" s="138" t="s">
        <v>1913</v>
      </c>
      <c r="E151" s="138" t="s">
        <v>107</v>
      </c>
      <c r="F151" s="139">
        <v>45966</v>
      </c>
      <c r="G151" s="139">
        <v>45982</v>
      </c>
      <c r="H151" s="138" t="s">
        <v>561</v>
      </c>
      <c r="I151" s="138" t="s">
        <v>1414</v>
      </c>
      <c r="J151" s="138" t="s">
        <v>359</v>
      </c>
      <c r="K151" s="140" t="s">
        <v>358</v>
      </c>
    </row>
    <row r="152" spans="1:11" ht="52.8" hidden="1" x14ac:dyDescent="0.25">
      <c r="A152" s="138" t="s">
        <v>51</v>
      </c>
      <c r="B152" s="138" t="s">
        <v>1914</v>
      </c>
      <c r="C152" s="138" t="s">
        <v>102</v>
      </c>
      <c r="D152" s="138" t="s">
        <v>1915</v>
      </c>
      <c r="E152" s="138" t="s">
        <v>107</v>
      </c>
      <c r="F152" s="139">
        <v>45966</v>
      </c>
      <c r="G152" s="139">
        <v>45982</v>
      </c>
      <c r="H152" s="138" t="s">
        <v>564</v>
      </c>
      <c r="I152" s="138" t="s">
        <v>1414</v>
      </c>
      <c r="J152" s="138" t="s">
        <v>359</v>
      </c>
      <c r="K152" s="140" t="s">
        <v>2250</v>
      </c>
    </row>
    <row r="153" spans="1:11" x14ac:dyDescent="0.25">
      <c r="A153" s="1" t="s">
        <v>375</v>
      </c>
      <c r="B153" s="1" t="s">
        <v>2251</v>
      </c>
      <c r="C153" s="1" t="s">
        <v>104</v>
      </c>
      <c r="D153" s="1" t="s">
        <v>2252</v>
      </c>
      <c r="E153" s="1" t="s">
        <v>98</v>
      </c>
      <c r="F153" s="134">
        <v>45967</v>
      </c>
      <c r="G153" s="134">
        <v>45989</v>
      </c>
      <c r="H153" s="1" t="s">
        <v>451</v>
      </c>
      <c r="I153" s="1" t="s">
        <v>1261</v>
      </c>
      <c r="J153" s="1" t="s">
        <v>379</v>
      </c>
      <c r="K153" s="1"/>
    </row>
    <row r="154" spans="1:11" hidden="1" x14ac:dyDescent="0.25">
      <c r="A154" s="1" t="s">
        <v>51</v>
      </c>
      <c r="B154" s="1" t="s">
        <v>2042</v>
      </c>
      <c r="C154" s="1" t="s">
        <v>105</v>
      </c>
      <c r="D154" s="1" t="s">
        <v>2043</v>
      </c>
      <c r="E154" s="1" t="s">
        <v>98</v>
      </c>
      <c r="F154" s="134">
        <v>45967</v>
      </c>
      <c r="G154" s="1"/>
      <c r="H154" s="1" t="s">
        <v>457</v>
      </c>
      <c r="I154" s="1" t="s">
        <v>526</v>
      </c>
      <c r="J154" s="1" t="s">
        <v>85</v>
      </c>
      <c r="K154" s="1"/>
    </row>
    <row r="155" spans="1:11" hidden="1" x14ac:dyDescent="0.25">
      <c r="A155" s="1" t="s">
        <v>51</v>
      </c>
      <c r="B155" s="1" t="s">
        <v>2044</v>
      </c>
      <c r="C155" s="1" t="s">
        <v>104</v>
      </c>
      <c r="D155" s="1" t="s">
        <v>2045</v>
      </c>
      <c r="E155" s="1" t="s">
        <v>96</v>
      </c>
      <c r="F155" s="134">
        <v>45968</v>
      </c>
      <c r="G155" s="1"/>
      <c r="H155" s="1" t="s">
        <v>443</v>
      </c>
      <c r="I155" s="1" t="s">
        <v>2046</v>
      </c>
      <c r="J155" s="1"/>
      <c r="K155" s="1"/>
    </row>
    <row r="156" spans="1:11" hidden="1" x14ac:dyDescent="0.25">
      <c r="A156" s="1" t="s">
        <v>51</v>
      </c>
      <c r="B156" s="1" t="s">
        <v>2047</v>
      </c>
      <c r="C156" s="1" t="s">
        <v>106</v>
      </c>
      <c r="D156" s="1" t="s">
        <v>2048</v>
      </c>
      <c r="E156" s="1" t="s">
        <v>98</v>
      </c>
      <c r="F156" s="134">
        <v>45972</v>
      </c>
      <c r="G156" s="134">
        <v>46017</v>
      </c>
      <c r="H156" s="1" t="s">
        <v>990</v>
      </c>
      <c r="I156" s="1" t="s">
        <v>1478</v>
      </c>
      <c r="J156" s="1"/>
      <c r="K156" s="1"/>
    </row>
    <row r="157" spans="1:11" x14ac:dyDescent="0.25">
      <c r="A157" s="1" t="s">
        <v>380</v>
      </c>
      <c r="B157" s="1" t="s">
        <v>2049</v>
      </c>
      <c r="C157" s="1" t="s">
        <v>102</v>
      </c>
      <c r="D157" s="1" t="s">
        <v>2050</v>
      </c>
      <c r="E157" s="1" t="s">
        <v>107</v>
      </c>
      <c r="F157" s="134">
        <v>45972</v>
      </c>
      <c r="G157" s="134">
        <v>45989</v>
      </c>
      <c r="H157" s="1" t="s">
        <v>520</v>
      </c>
      <c r="I157" s="1" t="s">
        <v>1070</v>
      </c>
      <c r="J157" s="1" t="s">
        <v>1238</v>
      </c>
      <c r="K157" s="1"/>
    </row>
    <row r="158" spans="1:11" ht="26.4" hidden="1" x14ac:dyDescent="0.25">
      <c r="A158" s="138" t="s">
        <v>51</v>
      </c>
      <c r="B158" s="138" t="s">
        <v>2253</v>
      </c>
      <c r="C158" s="138" t="s">
        <v>104</v>
      </c>
      <c r="D158" s="138" t="s">
        <v>2254</v>
      </c>
      <c r="E158" s="138" t="s">
        <v>98</v>
      </c>
      <c r="F158" s="139">
        <v>45972</v>
      </c>
      <c r="G158" s="139">
        <v>45979</v>
      </c>
      <c r="H158" s="138" t="s">
        <v>457</v>
      </c>
      <c r="I158" s="138" t="s">
        <v>2255</v>
      </c>
      <c r="J158" s="140" t="s">
        <v>620</v>
      </c>
      <c r="K158" s="140" t="s">
        <v>358</v>
      </c>
    </row>
    <row r="159" spans="1:11" ht="26.4" hidden="1" x14ac:dyDescent="0.25">
      <c r="A159" s="138" t="s">
        <v>380</v>
      </c>
      <c r="B159" s="138" t="s">
        <v>2051</v>
      </c>
      <c r="C159" s="138" t="s">
        <v>102</v>
      </c>
      <c r="D159" s="138" t="s">
        <v>2050</v>
      </c>
      <c r="E159" s="138" t="s">
        <v>107</v>
      </c>
      <c r="F159" s="139">
        <v>45972</v>
      </c>
      <c r="G159" s="139">
        <v>45983</v>
      </c>
      <c r="H159" s="138" t="s">
        <v>520</v>
      </c>
      <c r="I159" s="138" t="s">
        <v>1070</v>
      </c>
      <c r="J159" s="138" t="s">
        <v>1238</v>
      </c>
      <c r="K159" s="140" t="s">
        <v>358</v>
      </c>
    </row>
    <row r="160" spans="1:11" x14ac:dyDescent="0.25">
      <c r="A160" s="1" t="s">
        <v>380</v>
      </c>
      <c r="B160" s="1" t="s">
        <v>2052</v>
      </c>
      <c r="C160" s="1" t="s">
        <v>102</v>
      </c>
      <c r="D160" s="1" t="s">
        <v>993</v>
      </c>
      <c r="E160" s="1" t="s">
        <v>107</v>
      </c>
      <c r="F160" s="134">
        <v>45972</v>
      </c>
      <c r="G160" s="134">
        <v>45989</v>
      </c>
      <c r="H160" s="1" t="s">
        <v>887</v>
      </c>
      <c r="I160" s="1" t="s">
        <v>1070</v>
      </c>
      <c r="J160" s="1" t="s">
        <v>1238</v>
      </c>
      <c r="K160" s="1"/>
    </row>
    <row r="161" spans="1:11" ht="26.4" hidden="1" x14ac:dyDescent="0.25">
      <c r="A161" s="138" t="s">
        <v>375</v>
      </c>
      <c r="B161" s="138" t="s">
        <v>2053</v>
      </c>
      <c r="C161" s="138" t="s">
        <v>1479</v>
      </c>
      <c r="D161" s="138" t="s">
        <v>2054</v>
      </c>
      <c r="E161" s="138" t="s">
        <v>98</v>
      </c>
      <c r="F161" s="139">
        <v>45973</v>
      </c>
      <c r="G161" s="139">
        <v>45982</v>
      </c>
      <c r="H161" s="138" t="s">
        <v>487</v>
      </c>
      <c r="I161" s="138" t="s">
        <v>1480</v>
      </c>
      <c r="J161" s="138" t="s">
        <v>488</v>
      </c>
      <c r="K161" s="140" t="s">
        <v>358</v>
      </c>
    </row>
    <row r="162" spans="1:11" hidden="1" x14ac:dyDescent="0.25">
      <c r="A162" s="1" t="s">
        <v>51</v>
      </c>
      <c r="B162" s="1" t="s">
        <v>2256</v>
      </c>
      <c r="C162" s="1" t="s">
        <v>102</v>
      </c>
      <c r="D162" s="1" t="s">
        <v>2257</v>
      </c>
      <c r="E162" s="1" t="s">
        <v>98</v>
      </c>
      <c r="F162" s="134">
        <v>45974</v>
      </c>
      <c r="G162" s="1"/>
      <c r="H162" s="1" t="s">
        <v>564</v>
      </c>
      <c r="I162" s="1" t="s">
        <v>1448</v>
      </c>
      <c r="J162" s="1" t="s">
        <v>1229</v>
      </c>
      <c r="K162" s="1"/>
    </row>
    <row r="163" spans="1:11" hidden="1" x14ac:dyDescent="0.25">
      <c r="A163" s="1" t="s">
        <v>51</v>
      </c>
      <c r="B163" s="1" t="s">
        <v>2258</v>
      </c>
      <c r="C163" s="1" t="s">
        <v>103</v>
      </c>
      <c r="D163" s="1" t="s">
        <v>2259</v>
      </c>
      <c r="E163" s="1" t="s">
        <v>98</v>
      </c>
      <c r="F163" s="134">
        <v>45974</v>
      </c>
      <c r="G163" s="1"/>
      <c r="H163" s="1" t="s">
        <v>564</v>
      </c>
      <c r="I163" s="1" t="s">
        <v>1448</v>
      </c>
      <c r="J163" s="1" t="s">
        <v>1229</v>
      </c>
      <c r="K163" s="1"/>
    </row>
    <row r="164" spans="1:11" hidden="1" x14ac:dyDescent="0.25">
      <c r="A164" s="1" t="s">
        <v>51</v>
      </c>
      <c r="B164" s="1" t="s">
        <v>2260</v>
      </c>
      <c r="C164" s="1" t="s">
        <v>102</v>
      </c>
      <c r="D164" s="1" t="s">
        <v>2261</v>
      </c>
      <c r="E164" s="1" t="s">
        <v>98</v>
      </c>
      <c r="F164" s="134">
        <v>45974</v>
      </c>
      <c r="G164" s="1"/>
      <c r="H164" s="1" t="s">
        <v>564</v>
      </c>
      <c r="I164" s="1" t="s">
        <v>1448</v>
      </c>
      <c r="J164" s="1" t="s">
        <v>1229</v>
      </c>
      <c r="K164" s="1"/>
    </row>
    <row r="165" spans="1:11" x14ac:dyDescent="0.25">
      <c r="A165" s="1" t="s">
        <v>376</v>
      </c>
      <c r="B165" s="1" t="s">
        <v>2262</v>
      </c>
      <c r="C165" s="1" t="s">
        <v>1479</v>
      </c>
      <c r="D165" s="1" t="s">
        <v>2263</v>
      </c>
      <c r="E165" s="1" t="s">
        <v>98</v>
      </c>
      <c r="F165" s="134">
        <v>45974</v>
      </c>
      <c r="G165" s="134">
        <v>45990</v>
      </c>
      <c r="H165" s="1" t="s">
        <v>487</v>
      </c>
      <c r="I165" s="1" t="s">
        <v>2264</v>
      </c>
      <c r="J165" s="1" t="s">
        <v>488</v>
      </c>
      <c r="K165" s="1"/>
    </row>
    <row r="166" spans="1:11" hidden="1" x14ac:dyDescent="0.25">
      <c r="A166" s="1" t="s">
        <v>51</v>
      </c>
      <c r="B166" s="1" t="s">
        <v>2265</v>
      </c>
      <c r="C166" s="1" t="s">
        <v>104</v>
      </c>
      <c r="D166" s="1" t="s">
        <v>2266</v>
      </c>
      <c r="E166" s="1" t="s">
        <v>107</v>
      </c>
      <c r="F166" s="134">
        <v>45974</v>
      </c>
      <c r="G166" s="134">
        <v>46059</v>
      </c>
      <c r="H166" s="1" t="s">
        <v>561</v>
      </c>
      <c r="I166" s="1" t="s">
        <v>1448</v>
      </c>
      <c r="J166" s="1" t="s">
        <v>1229</v>
      </c>
      <c r="K166" s="1"/>
    </row>
    <row r="167" spans="1:11" ht="26.4" hidden="1" x14ac:dyDescent="0.25">
      <c r="A167" s="138" t="s">
        <v>51</v>
      </c>
      <c r="B167" s="138" t="s">
        <v>2267</v>
      </c>
      <c r="C167" s="138" t="s">
        <v>106</v>
      </c>
      <c r="D167" s="138" t="s">
        <v>2268</v>
      </c>
      <c r="E167" s="138" t="s">
        <v>98</v>
      </c>
      <c r="F167" s="139">
        <v>45975</v>
      </c>
      <c r="G167" s="139">
        <v>45980</v>
      </c>
      <c r="H167" s="138" t="s">
        <v>432</v>
      </c>
      <c r="I167" s="138" t="s">
        <v>2269</v>
      </c>
      <c r="J167" s="138"/>
      <c r="K167" s="140" t="s">
        <v>358</v>
      </c>
    </row>
    <row r="168" spans="1:11" ht="26.4" hidden="1" x14ac:dyDescent="0.25">
      <c r="A168" s="138" t="s">
        <v>51</v>
      </c>
      <c r="B168" s="138" t="s">
        <v>2270</v>
      </c>
      <c r="C168" s="138" t="s">
        <v>2271</v>
      </c>
      <c r="D168" s="138" t="s">
        <v>2272</v>
      </c>
      <c r="E168" s="138" t="s">
        <v>107</v>
      </c>
      <c r="F168" s="139">
        <v>45975</v>
      </c>
      <c r="G168" s="139">
        <v>45979</v>
      </c>
      <c r="H168" s="138" t="s">
        <v>432</v>
      </c>
      <c r="I168" s="138" t="s">
        <v>2273</v>
      </c>
      <c r="J168" s="138" t="s">
        <v>2274</v>
      </c>
      <c r="K168" s="140" t="s">
        <v>358</v>
      </c>
    </row>
    <row r="169" spans="1:11" hidden="1" x14ac:dyDescent="0.25">
      <c r="A169" s="1" t="s">
        <v>51</v>
      </c>
      <c r="B169" s="1" t="s">
        <v>2275</v>
      </c>
      <c r="C169" s="1" t="s">
        <v>105</v>
      </c>
      <c r="D169" s="1" t="s">
        <v>2276</v>
      </c>
      <c r="E169" s="1" t="s">
        <v>98</v>
      </c>
      <c r="F169" s="134">
        <v>45978</v>
      </c>
      <c r="G169" s="1"/>
      <c r="H169" s="1" t="s">
        <v>437</v>
      </c>
      <c r="I169" s="1" t="s">
        <v>1417</v>
      </c>
      <c r="J169" s="1" t="s">
        <v>493</v>
      </c>
      <c r="K169" s="1"/>
    </row>
    <row r="170" spans="1:11" hidden="1" x14ac:dyDescent="0.25">
      <c r="A170" s="1" t="s">
        <v>51</v>
      </c>
      <c r="B170" s="1" t="s">
        <v>2277</v>
      </c>
      <c r="C170" s="1" t="s">
        <v>103</v>
      </c>
      <c r="D170" s="1" t="s">
        <v>2278</v>
      </c>
      <c r="E170" s="1" t="s">
        <v>98</v>
      </c>
      <c r="F170" s="134">
        <v>45978</v>
      </c>
      <c r="G170" s="1"/>
      <c r="H170" s="1" t="s">
        <v>437</v>
      </c>
      <c r="I170" s="1" t="s">
        <v>1417</v>
      </c>
      <c r="J170" s="1" t="s">
        <v>493</v>
      </c>
      <c r="K170" s="1"/>
    </row>
    <row r="171" spans="1:11" hidden="1" x14ac:dyDescent="0.25">
      <c r="A171" s="1" t="s">
        <v>51</v>
      </c>
      <c r="B171" s="1" t="s">
        <v>2279</v>
      </c>
      <c r="C171" s="1" t="s">
        <v>103</v>
      </c>
      <c r="D171" s="1" t="s">
        <v>2280</v>
      </c>
      <c r="E171" s="1" t="s">
        <v>98</v>
      </c>
      <c r="F171" s="134">
        <v>45978</v>
      </c>
      <c r="G171" s="1"/>
      <c r="H171" s="1" t="s">
        <v>437</v>
      </c>
      <c r="I171" s="1" t="s">
        <v>1417</v>
      </c>
      <c r="J171" s="1" t="s">
        <v>493</v>
      </c>
      <c r="K171" s="1"/>
    </row>
    <row r="172" spans="1:11" hidden="1" x14ac:dyDescent="0.25">
      <c r="A172" s="1" t="s">
        <v>51</v>
      </c>
      <c r="B172" s="1" t="s">
        <v>2281</v>
      </c>
      <c r="C172" s="1" t="s">
        <v>102</v>
      </c>
      <c r="D172" s="1" t="s">
        <v>2282</v>
      </c>
      <c r="E172" s="1" t="s">
        <v>98</v>
      </c>
      <c r="F172" s="134">
        <v>45978</v>
      </c>
      <c r="G172" s="1"/>
      <c r="H172" s="1" t="s">
        <v>437</v>
      </c>
      <c r="I172" s="1" t="s">
        <v>1417</v>
      </c>
      <c r="J172" s="1" t="s">
        <v>493</v>
      </c>
      <c r="K172" s="1"/>
    </row>
    <row r="173" spans="1:11" hidden="1" x14ac:dyDescent="0.25">
      <c r="A173" s="1" t="s">
        <v>51</v>
      </c>
      <c r="B173" s="1" t="s">
        <v>2283</v>
      </c>
      <c r="C173" s="1" t="s">
        <v>102</v>
      </c>
      <c r="D173" s="1" t="s">
        <v>2284</v>
      </c>
      <c r="E173" s="1" t="s">
        <v>98</v>
      </c>
      <c r="F173" s="134">
        <v>45978</v>
      </c>
      <c r="G173" s="1"/>
      <c r="H173" s="1" t="s">
        <v>437</v>
      </c>
      <c r="I173" s="1" t="s">
        <v>1417</v>
      </c>
      <c r="J173" s="1" t="s">
        <v>493</v>
      </c>
      <c r="K173" s="1"/>
    </row>
    <row r="174" spans="1:11" hidden="1" x14ac:dyDescent="0.25">
      <c r="A174" s="1" t="s">
        <v>51</v>
      </c>
      <c r="B174" s="1" t="s">
        <v>2285</v>
      </c>
      <c r="C174" s="1" t="s">
        <v>102</v>
      </c>
      <c r="D174" s="1" t="s">
        <v>2286</v>
      </c>
      <c r="E174" s="1" t="s">
        <v>98</v>
      </c>
      <c r="F174" s="134">
        <v>45978</v>
      </c>
      <c r="G174" s="1"/>
      <c r="H174" s="1" t="s">
        <v>437</v>
      </c>
      <c r="I174" s="1" t="s">
        <v>1417</v>
      </c>
      <c r="J174" s="1" t="s">
        <v>493</v>
      </c>
      <c r="K174" s="1"/>
    </row>
    <row r="175" spans="1:11" hidden="1" x14ac:dyDescent="0.25">
      <c r="A175" s="1" t="s">
        <v>51</v>
      </c>
      <c r="B175" s="1" t="s">
        <v>2287</v>
      </c>
      <c r="C175" s="1" t="s">
        <v>106</v>
      </c>
      <c r="D175" s="1" t="s">
        <v>2288</v>
      </c>
      <c r="E175" s="1" t="s">
        <v>98</v>
      </c>
      <c r="F175" s="134">
        <v>45978</v>
      </c>
      <c r="G175" s="1"/>
      <c r="H175" s="1" t="s">
        <v>457</v>
      </c>
      <c r="I175" s="1" t="s">
        <v>1417</v>
      </c>
      <c r="J175" s="1" t="s">
        <v>493</v>
      </c>
      <c r="K175" s="1"/>
    </row>
    <row r="176" spans="1:11" hidden="1" x14ac:dyDescent="0.25">
      <c r="A176" s="1" t="s">
        <v>51</v>
      </c>
      <c r="B176" s="1" t="s">
        <v>2289</v>
      </c>
      <c r="C176" s="1" t="s">
        <v>103</v>
      </c>
      <c r="D176" s="1" t="s">
        <v>2290</v>
      </c>
      <c r="E176" s="1" t="s">
        <v>98</v>
      </c>
      <c r="F176" s="134">
        <v>45978</v>
      </c>
      <c r="G176" s="1"/>
      <c r="H176" s="1" t="s">
        <v>509</v>
      </c>
      <c r="I176" s="1" t="s">
        <v>1418</v>
      </c>
      <c r="J176" s="1" t="s">
        <v>85</v>
      </c>
      <c r="K176" s="1"/>
    </row>
    <row r="177" spans="1:11" hidden="1" x14ac:dyDescent="0.25">
      <c r="A177" s="1" t="s">
        <v>51</v>
      </c>
      <c r="B177" s="1" t="s">
        <v>2291</v>
      </c>
      <c r="C177" s="1" t="s">
        <v>102</v>
      </c>
      <c r="D177" s="1" t="s">
        <v>2292</v>
      </c>
      <c r="E177" s="1" t="s">
        <v>98</v>
      </c>
      <c r="F177" s="134">
        <v>45978</v>
      </c>
      <c r="G177" s="1"/>
      <c r="H177" s="1" t="s">
        <v>509</v>
      </c>
      <c r="I177" s="1" t="s">
        <v>1418</v>
      </c>
      <c r="J177" s="1" t="s">
        <v>85</v>
      </c>
      <c r="K177" s="1"/>
    </row>
    <row r="178" spans="1:11" hidden="1" x14ac:dyDescent="0.25">
      <c r="A178" s="1" t="s">
        <v>51</v>
      </c>
      <c r="B178" s="1" t="s">
        <v>2293</v>
      </c>
      <c r="C178" s="1" t="s">
        <v>102</v>
      </c>
      <c r="D178" s="1" t="s">
        <v>2294</v>
      </c>
      <c r="E178" s="1" t="s">
        <v>98</v>
      </c>
      <c r="F178" s="134">
        <v>45978</v>
      </c>
      <c r="G178" s="1"/>
      <c r="H178" s="1" t="s">
        <v>509</v>
      </c>
      <c r="I178" s="1" t="s">
        <v>1418</v>
      </c>
      <c r="J178" s="1" t="s">
        <v>85</v>
      </c>
      <c r="K178" s="1"/>
    </row>
    <row r="179" spans="1:11" hidden="1" x14ac:dyDescent="0.25">
      <c r="A179" s="1" t="s">
        <v>374</v>
      </c>
      <c r="B179" s="1" t="s">
        <v>2295</v>
      </c>
      <c r="C179" s="1" t="s">
        <v>104</v>
      </c>
      <c r="D179" s="1" t="s">
        <v>1009</v>
      </c>
      <c r="E179" s="1" t="s">
        <v>98</v>
      </c>
      <c r="F179" s="134">
        <v>45979</v>
      </c>
      <c r="G179" s="1"/>
      <c r="H179" s="1" t="s">
        <v>445</v>
      </c>
      <c r="I179" s="1" t="s">
        <v>633</v>
      </c>
      <c r="J179" s="1" t="s">
        <v>379</v>
      </c>
      <c r="K179" s="1"/>
    </row>
    <row r="180" spans="1:11" hidden="1" x14ac:dyDescent="0.25">
      <c r="A180" s="1" t="s">
        <v>384</v>
      </c>
      <c r="B180" s="1" t="s">
        <v>2296</v>
      </c>
      <c r="C180" s="1" t="s">
        <v>102</v>
      </c>
      <c r="D180" s="1" t="s">
        <v>2297</v>
      </c>
      <c r="E180" s="1" t="s">
        <v>98</v>
      </c>
      <c r="F180" s="134">
        <v>45979</v>
      </c>
      <c r="G180" s="1"/>
      <c r="H180" s="1" t="s">
        <v>520</v>
      </c>
      <c r="I180" s="1" t="s">
        <v>888</v>
      </c>
      <c r="J180" s="1" t="s">
        <v>1238</v>
      </c>
      <c r="K180" s="1"/>
    </row>
    <row r="181" spans="1:11" hidden="1" x14ac:dyDescent="0.25">
      <c r="A181" s="1" t="s">
        <v>384</v>
      </c>
      <c r="B181" s="1" t="s">
        <v>2298</v>
      </c>
      <c r="C181" s="1" t="s">
        <v>102</v>
      </c>
      <c r="D181" s="1" t="s">
        <v>2299</v>
      </c>
      <c r="E181" s="1" t="s">
        <v>98</v>
      </c>
      <c r="F181" s="134">
        <v>45979</v>
      </c>
      <c r="G181" s="1"/>
      <c r="H181" s="1" t="s">
        <v>520</v>
      </c>
      <c r="I181" s="1" t="s">
        <v>888</v>
      </c>
      <c r="J181" s="1" t="s">
        <v>1238</v>
      </c>
      <c r="K181" s="1"/>
    </row>
    <row r="182" spans="1:11" hidden="1" x14ac:dyDescent="0.25">
      <c r="A182" s="1" t="s">
        <v>384</v>
      </c>
      <c r="B182" s="1" t="s">
        <v>2300</v>
      </c>
      <c r="C182" s="1" t="s">
        <v>102</v>
      </c>
      <c r="D182" s="1" t="s">
        <v>2301</v>
      </c>
      <c r="E182" s="1" t="s">
        <v>98</v>
      </c>
      <c r="F182" s="134">
        <v>45979</v>
      </c>
      <c r="G182" s="1"/>
      <c r="H182" s="1" t="s">
        <v>520</v>
      </c>
      <c r="I182" s="1" t="s">
        <v>888</v>
      </c>
      <c r="J182" s="1" t="s">
        <v>1238</v>
      </c>
      <c r="K182" s="1"/>
    </row>
    <row r="183" spans="1:11" hidden="1" x14ac:dyDescent="0.25">
      <c r="A183" s="1" t="s">
        <v>384</v>
      </c>
      <c r="B183" s="1" t="s">
        <v>2302</v>
      </c>
      <c r="C183" s="1" t="s">
        <v>102</v>
      </c>
      <c r="D183" s="1" t="s">
        <v>2303</v>
      </c>
      <c r="E183" s="1" t="s">
        <v>98</v>
      </c>
      <c r="F183" s="134">
        <v>45979</v>
      </c>
      <c r="G183" s="1"/>
      <c r="H183" s="1" t="s">
        <v>520</v>
      </c>
      <c r="I183" s="1" t="s">
        <v>888</v>
      </c>
      <c r="J183" s="1" t="s">
        <v>1238</v>
      </c>
      <c r="K183" s="1"/>
    </row>
    <row r="184" spans="1:11" hidden="1" x14ac:dyDescent="0.25">
      <c r="A184" s="1" t="s">
        <v>384</v>
      </c>
      <c r="B184" s="1" t="s">
        <v>2304</v>
      </c>
      <c r="C184" s="1" t="s">
        <v>102</v>
      </c>
      <c r="D184" s="1" t="s">
        <v>2305</v>
      </c>
      <c r="E184" s="1" t="s">
        <v>98</v>
      </c>
      <c r="F184" s="134">
        <v>45979</v>
      </c>
      <c r="G184" s="1"/>
      <c r="H184" s="1" t="s">
        <v>520</v>
      </c>
      <c r="I184" s="1" t="s">
        <v>888</v>
      </c>
      <c r="J184" s="1" t="s">
        <v>1238</v>
      </c>
      <c r="K184" s="1"/>
    </row>
    <row r="185" spans="1:11" hidden="1" x14ac:dyDescent="0.25">
      <c r="A185" s="1" t="s">
        <v>51</v>
      </c>
      <c r="B185" s="1" t="s">
        <v>2306</v>
      </c>
      <c r="C185" s="1" t="s">
        <v>106</v>
      </c>
      <c r="D185" s="1" t="s">
        <v>2307</v>
      </c>
      <c r="E185" s="1" t="s">
        <v>98</v>
      </c>
      <c r="F185" s="134">
        <v>45979</v>
      </c>
      <c r="G185" s="134">
        <v>46003</v>
      </c>
      <c r="H185" s="1" t="s">
        <v>990</v>
      </c>
      <c r="I185" s="1" t="s">
        <v>1478</v>
      </c>
      <c r="J185" s="1"/>
      <c r="K185" s="1"/>
    </row>
    <row r="186" spans="1:11" hidden="1" x14ac:dyDescent="0.25">
      <c r="A186" s="1" t="s">
        <v>51</v>
      </c>
      <c r="B186" s="1" t="s">
        <v>2308</v>
      </c>
      <c r="C186" s="1" t="s">
        <v>106</v>
      </c>
      <c r="D186" s="1" t="s">
        <v>2307</v>
      </c>
      <c r="E186" s="1" t="s">
        <v>98</v>
      </c>
      <c r="F186" s="134">
        <v>45979</v>
      </c>
      <c r="G186" s="134">
        <v>46003</v>
      </c>
      <c r="H186" s="1" t="s">
        <v>990</v>
      </c>
      <c r="I186" s="1" t="s">
        <v>1478</v>
      </c>
      <c r="J186" s="1"/>
      <c r="K186" s="1"/>
    </row>
    <row r="187" spans="1:11" hidden="1" x14ac:dyDescent="0.25">
      <c r="A187" s="1" t="s">
        <v>375</v>
      </c>
      <c r="B187" s="1" t="s">
        <v>2309</v>
      </c>
      <c r="C187" s="1" t="s">
        <v>104</v>
      </c>
      <c r="D187" s="1" t="s">
        <v>1009</v>
      </c>
      <c r="E187" s="1" t="s">
        <v>98</v>
      </c>
      <c r="F187" s="134">
        <v>45979</v>
      </c>
      <c r="G187" s="1"/>
      <c r="H187" s="1" t="s">
        <v>487</v>
      </c>
      <c r="I187" s="1" t="s">
        <v>633</v>
      </c>
      <c r="J187" s="1" t="s">
        <v>488</v>
      </c>
      <c r="K187" s="1"/>
    </row>
    <row r="188" spans="1:11" x14ac:dyDescent="0.25">
      <c r="A188" s="1" t="s">
        <v>51</v>
      </c>
      <c r="B188" s="1" t="s">
        <v>2310</v>
      </c>
      <c r="C188" s="1" t="s">
        <v>106</v>
      </c>
      <c r="D188" s="1" t="s">
        <v>2311</v>
      </c>
      <c r="E188" s="1" t="s">
        <v>98</v>
      </c>
      <c r="F188" s="134">
        <v>45979</v>
      </c>
      <c r="G188" s="134">
        <v>45986</v>
      </c>
      <c r="H188" s="1" t="s">
        <v>564</v>
      </c>
      <c r="I188" s="1" t="s">
        <v>2312</v>
      </c>
      <c r="J188" s="1" t="s">
        <v>2313</v>
      </c>
      <c r="K188" s="1"/>
    </row>
    <row r="189" spans="1:11" ht="66" hidden="1" x14ac:dyDescent="0.25">
      <c r="A189" s="1" t="s">
        <v>51</v>
      </c>
      <c r="B189" s="1" t="s">
        <v>2314</v>
      </c>
      <c r="C189" s="1" t="s">
        <v>105</v>
      </c>
      <c r="D189" s="1" t="s">
        <v>2315</v>
      </c>
      <c r="E189" s="1" t="s">
        <v>107</v>
      </c>
      <c r="F189" s="134">
        <v>45980</v>
      </c>
      <c r="G189" s="134">
        <v>46003</v>
      </c>
      <c r="H189" s="1" t="s">
        <v>2111</v>
      </c>
      <c r="I189" s="1" t="s">
        <v>2208</v>
      </c>
      <c r="J189" s="135" t="s">
        <v>2112</v>
      </c>
      <c r="K189" s="1"/>
    </row>
    <row r="190" spans="1:11" ht="66" hidden="1" x14ac:dyDescent="0.25">
      <c r="A190" s="1" t="s">
        <v>51</v>
      </c>
      <c r="B190" s="1" t="s">
        <v>2316</v>
      </c>
      <c r="C190" s="1" t="s">
        <v>103</v>
      </c>
      <c r="D190" s="1" t="s">
        <v>2317</v>
      </c>
      <c r="E190" s="1" t="s">
        <v>107</v>
      </c>
      <c r="F190" s="134">
        <v>45980</v>
      </c>
      <c r="G190" s="134">
        <v>46003</v>
      </c>
      <c r="H190" s="1" t="s">
        <v>2111</v>
      </c>
      <c r="I190" s="1" t="s">
        <v>2208</v>
      </c>
      <c r="J190" s="135" t="s">
        <v>2112</v>
      </c>
      <c r="K190" s="1"/>
    </row>
    <row r="191" spans="1:11" ht="66" hidden="1" x14ac:dyDescent="0.25">
      <c r="A191" s="1" t="s">
        <v>51</v>
      </c>
      <c r="B191" s="1" t="s">
        <v>2318</v>
      </c>
      <c r="C191" s="1" t="s">
        <v>102</v>
      </c>
      <c r="D191" s="1" t="s">
        <v>2319</v>
      </c>
      <c r="E191" s="1" t="s">
        <v>98</v>
      </c>
      <c r="F191" s="134">
        <v>45980</v>
      </c>
      <c r="G191" s="134">
        <v>46003</v>
      </c>
      <c r="H191" s="1" t="s">
        <v>2111</v>
      </c>
      <c r="I191" s="1" t="s">
        <v>2208</v>
      </c>
      <c r="J191" s="135" t="s">
        <v>2112</v>
      </c>
      <c r="K191" s="1"/>
    </row>
    <row r="192" spans="1:11" ht="66" hidden="1" x14ac:dyDescent="0.25">
      <c r="A192" s="1" t="s">
        <v>51</v>
      </c>
      <c r="B192" s="1" t="s">
        <v>2320</v>
      </c>
      <c r="C192" s="1" t="s">
        <v>102</v>
      </c>
      <c r="D192" s="1" t="s">
        <v>2321</v>
      </c>
      <c r="E192" s="1" t="s">
        <v>98</v>
      </c>
      <c r="F192" s="134">
        <v>45980</v>
      </c>
      <c r="G192" s="134">
        <v>46003</v>
      </c>
      <c r="H192" s="1" t="s">
        <v>2111</v>
      </c>
      <c r="I192" s="1" t="s">
        <v>2208</v>
      </c>
      <c r="J192" s="135" t="s">
        <v>2112</v>
      </c>
      <c r="K192" s="1"/>
    </row>
    <row r="193" spans="1:11" x14ac:dyDescent="0.25">
      <c r="A193" s="1" t="s">
        <v>375</v>
      </c>
      <c r="B193" s="1" t="s">
        <v>2322</v>
      </c>
      <c r="C193" s="1" t="s">
        <v>104</v>
      </c>
      <c r="D193" s="1" t="s">
        <v>2323</v>
      </c>
      <c r="E193" s="1" t="s">
        <v>107</v>
      </c>
      <c r="F193" s="134">
        <v>45981</v>
      </c>
      <c r="G193" s="134">
        <v>45990</v>
      </c>
      <c r="H193" s="1" t="s">
        <v>540</v>
      </c>
      <c r="I193" s="1" t="s">
        <v>631</v>
      </c>
      <c r="J193" s="1" t="s">
        <v>379</v>
      </c>
      <c r="K193" s="1"/>
    </row>
    <row r="194" spans="1:11" x14ac:dyDescent="0.25">
      <c r="A194" s="1" t="s">
        <v>375</v>
      </c>
      <c r="B194" s="1" t="s">
        <v>2324</v>
      </c>
      <c r="C194" s="1" t="s">
        <v>105</v>
      </c>
      <c r="D194" s="1" t="s">
        <v>1055</v>
      </c>
      <c r="E194" s="1" t="s">
        <v>107</v>
      </c>
      <c r="F194" s="134">
        <v>45981</v>
      </c>
      <c r="G194" s="134">
        <v>45990</v>
      </c>
      <c r="H194" s="1" t="s">
        <v>487</v>
      </c>
      <c r="I194" s="1" t="s">
        <v>631</v>
      </c>
      <c r="J194" s="1" t="s">
        <v>379</v>
      </c>
      <c r="K194" s="1"/>
    </row>
    <row r="195" spans="1:11" x14ac:dyDescent="0.25">
      <c r="A195" s="1" t="s">
        <v>375</v>
      </c>
      <c r="B195" s="1" t="s">
        <v>2325</v>
      </c>
      <c r="C195" s="1" t="s">
        <v>105</v>
      </c>
      <c r="D195" s="1" t="s">
        <v>1057</v>
      </c>
      <c r="E195" s="1" t="s">
        <v>107</v>
      </c>
      <c r="F195" s="134">
        <v>45981</v>
      </c>
      <c r="G195" s="134">
        <v>45990</v>
      </c>
      <c r="H195" s="1" t="s">
        <v>2013</v>
      </c>
      <c r="I195" s="1" t="s">
        <v>631</v>
      </c>
      <c r="J195" s="1" t="s">
        <v>379</v>
      </c>
      <c r="K195" s="1"/>
    </row>
    <row r="196" spans="1:11" x14ac:dyDescent="0.25">
      <c r="A196" s="1" t="s">
        <v>375</v>
      </c>
      <c r="B196" s="1" t="s">
        <v>2326</v>
      </c>
      <c r="C196" s="1" t="s">
        <v>104</v>
      </c>
      <c r="D196" s="1" t="s">
        <v>1059</v>
      </c>
      <c r="E196" s="1" t="s">
        <v>107</v>
      </c>
      <c r="F196" s="134">
        <v>45981</v>
      </c>
      <c r="G196" s="134">
        <v>45990</v>
      </c>
      <c r="H196" s="1" t="s">
        <v>572</v>
      </c>
      <c r="I196" s="1" t="s">
        <v>631</v>
      </c>
      <c r="J196" s="1" t="s">
        <v>379</v>
      </c>
      <c r="K196" s="1"/>
    </row>
    <row r="197" spans="1:11" x14ac:dyDescent="0.25">
      <c r="A197" s="1" t="s">
        <v>375</v>
      </c>
      <c r="B197" s="1" t="s">
        <v>2327</v>
      </c>
      <c r="C197" s="1" t="s">
        <v>105</v>
      </c>
      <c r="D197" s="1" t="s">
        <v>1061</v>
      </c>
      <c r="E197" s="1" t="s">
        <v>107</v>
      </c>
      <c r="F197" s="134">
        <v>45981</v>
      </c>
      <c r="G197" s="134">
        <v>45990</v>
      </c>
      <c r="H197" s="1" t="s">
        <v>445</v>
      </c>
      <c r="I197" s="1" t="s">
        <v>631</v>
      </c>
      <c r="J197" s="1" t="s">
        <v>379</v>
      </c>
      <c r="K197" s="1"/>
    </row>
    <row r="198" spans="1:11" x14ac:dyDescent="0.25">
      <c r="A198" s="1" t="s">
        <v>375</v>
      </c>
      <c r="B198" s="1" t="s">
        <v>2328</v>
      </c>
      <c r="C198" s="1" t="s">
        <v>103</v>
      </c>
      <c r="D198" s="1" t="s">
        <v>1063</v>
      </c>
      <c r="E198" s="1" t="s">
        <v>107</v>
      </c>
      <c r="F198" s="134">
        <v>45981</v>
      </c>
      <c r="G198" s="134">
        <v>45990</v>
      </c>
      <c r="H198" s="1" t="s">
        <v>2013</v>
      </c>
      <c r="I198" s="1" t="s">
        <v>631</v>
      </c>
      <c r="J198" s="1" t="s">
        <v>379</v>
      </c>
      <c r="K198" s="1"/>
    </row>
    <row r="199" spans="1:11" x14ac:dyDescent="0.25">
      <c r="A199" s="1" t="s">
        <v>375</v>
      </c>
      <c r="B199" s="1" t="s">
        <v>2329</v>
      </c>
      <c r="C199" s="1" t="s">
        <v>102</v>
      </c>
      <c r="D199" s="1" t="s">
        <v>2330</v>
      </c>
      <c r="E199" s="1" t="s">
        <v>107</v>
      </c>
      <c r="F199" s="134">
        <v>45981</v>
      </c>
      <c r="G199" s="134">
        <v>45990</v>
      </c>
      <c r="H199" s="1" t="s">
        <v>445</v>
      </c>
      <c r="I199" s="1" t="s">
        <v>631</v>
      </c>
      <c r="J199" s="1" t="s">
        <v>379</v>
      </c>
      <c r="K199" s="1"/>
    </row>
    <row r="200" spans="1:11" x14ac:dyDescent="0.25">
      <c r="A200" s="1" t="s">
        <v>375</v>
      </c>
      <c r="B200" s="1" t="s">
        <v>2331</v>
      </c>
      <c r="C200" s="1" t="s">
        <v>104</v>
      </c>
      <c r="D200" s="1" t="s">
        <v>2332</v>
      </c>
      <c r="E200" s="1" t="s">
        <v>107</v>
      </c>
      <c r="F200" s="134">
        <v>45981</v>
      </c>
      <c r="G200" s="134">
        <v>45990</v>
      </c>
      <c r="H200" s="1" t="s">
        <v>525</v>
      </c>
      <c r="I200" s="1" t="s">
        <v>631</v>
      </c>
      <c r="J200" s="1" t="s">
        <v>379</v>
      </c>
      <c r="K200" s="1"/>
    </row>
    <row r="201" spans="1:11" x14ac:dyDescent="0.25">
      <c r="A201" s="1" t="s">
        <v>375</v>
      </c>
      <c r="B201" s="1" t="s">
        <v>2333</v>
      </c>
      <c r="C201" s="1" t="s">
        <v>103</v>
      </c>
      <c r="D201" s="1" t="s">
        <v>2334</v>
      </c>
      <c r="E201" s="1" t="s">
        <v>107</v>
      </c>
      <c r="F201" s="134">
        <v>45981</v>
      </c>
      <c r="G201" s="134">
        <v>45990</v>
      </c>
      <c r="H201" s="1" t="s">
        <v>572</v>
      </c>
      <c r="I201" s="1" t="s">
        <v>631</v>
      </c>
      <c r="J201" s="1" t="s">
        <v>379</v>
      </c>
      <c r="K201" s="1"/>
    </row>
    <row r="202" spans="1:11" x14ac:dyDescent="0.25">
      <c r="A202" s="1" t="s">
        <v>375</v>
      </c>
      <c r="B202" s="1" t="s">
        <v>2335</v>
      </c>
      <c r="C202" s="1" t="s">
        <v>104</v>
      </c>
      <c r="D202" s="1" t="s">
        <v>2336</v>
      </c>
      <c r="E202" s="1" t="s">
        <v>107</v>
      </c>
      <c r="F202" s="134">
        <v>45981</v>
      </c>
      <c r="G202" s="134">
        <v>45990</v>
      </c>
      <c r="H202" s="1" t="s">
        <v>540</v>
      </c>
      <c r="I202" s="1" t="s">
        <v>631</v>
      </c>
      <c r="J202" s="1" t="s">
        <v>379</v>
      </c>
      <c r="K202" s="1"/>
    </row>
    <row r="203" spans="1:11" x14ac:dyDescent="0.25">
      <c r="A203" s="1" t="s">
        <v>375</v>
      </c>
      <c r="B203" s="1" t="s">
        <v>2337</v>
      </c>
      <c r="C203" s="1" t="s">
        <v>102</v>
      </c>
      <c r="D203" s="1" t="s">
        <v>2338</v>
      </c>
      <c r="E203" s="1" t="s">
        <v>107</v>
      </c>
      <c r="F203" s="134">
        <v>45981</v>
      </c>
      <c r="G203" s="134">
        <v>45989</v>
      </c>
      <c r="H203" s="1" t="s">
        <v>480</v>
      </c>
      <c r="I203" s="1" t="s">
        <v>631</v>
      </c>
      <c r="J203" s="1" t="s">
        <v>379</v>
      </c>
      <c r="K203" s="1"/>
    </row>
    <row r="204" spans="1:11" x14ac:dyDescent="0.25">
      <c r="A204" s="1" t="s">
        <v>375</v>
      </c>
      <c r="B204" s="1" t="s">
        <v>2339</v>
      </c>
      <c r="C204" s="1" t="s">
        <v>103</v>
      </c>
      <c r="D204" s="1" t="s">
        <v>2340</v>
      </c>
      <c r="E204" s="1" t="s">
        <v>107</v>
      </c>
      <c r="F204" s="134">
        <v>45981</v>
      </c>
      <c r="G204" s="134">
        <v>45990</v>
      </c>
      <c r="H204" s="1" t="s">
        <v>2013</v>
      </c>
      <c r="I204" s="1" t="s">
        <v>631</v>
      </c>
      <c r="J204" s="1" t="s">
        <v>379</v>
      </c>
      <c r="K204" s="1"/>
    </row>
    <row r="205" spans="1:11" hidden="1" x14ac:dyDescent="0.25">
      <c r="A205" s="1" t="s">
        <v>382</v>
      </c>
      <c r="B205" s="1" t="s">
        <v>2341</v>
      </c>
      <c r="C205" s="1" t="s">
        <v>105</v>
      </c>
      <c r="D205" s="1" t="s">
        <v>2303</v>
      </c>
      <c r="E205" s="1" t="s">
        <v>98</v>
      </c>
      <c r="F205" s="134">
        <v>45981</v>
      </c>
      <c r="G205" s="1"/>
      <c r="H205" s="1" t="s">
        <v>587</v>
      </c>
      <c r="I205" s="1" t="s">
        <v>1904</v>
      </c>
      <c r="J205" s="1" t="s">
        <v>1775</v>
      </c>
      <c r="K205" s="1"/>
    </row>
    <row r="206" spans="1:11" hidden="1" x14ac:dyDescent="0.25">
      <c r="A206" s="1" t="s">
        <v>382</v>
      </c>
      <c r="B206" s="1" t="s">
        <v>2342</v>
      </c>
      <c r="C206" s="1" t="s">
        <v>102</v>
      </c>
      <c r="D206" s="1" t="s">
        <v>2343</v>
      </c>
      <c r="E206" s="1" t="s">
        <v>98</v>
      </c>
      <c r="F206" s="134">
        <v>45981</v>
      </c>
      <c r="G206" s="1"/>
      <c r="H206" s="1" t="s">
        <v>587</v>
      </c>
      <c r="I206" s="1" t="s">
        <v>1904</v>
      </c>
      <c r="J206" s="1" t="s">
        <v>1775</v>
      </c>
      <c r="K206" s="1"/>
    </row>
    <row r="207" spans="1:11" hidden="1" x14ac:dyDescent="0.25">
      <c r="A207" s="1" t="s">
        <v>382</v>
      </c>
      <c r="B207" s="1" t="s">
        <v>2344</v>
      </c>
      <c r="C207" s="1" t="s">
        <v>105</v>
      </c>
      <c r="D207" s="1" t="s">
        <v>2345</v>
      </c>
      <c r="E207" s="1" t="s">
        <v>98</v>
      </c>
      <c r="F207" s="134">
        <v>45981</v>
      </c>
      <c r="G207" s="1"/>
      <c r="H207" s="1" t="s">
        <v>587</v>
      </c>
      <c r="I207" s="1" t="s">
        <v>1904</v>
      </c>
      <c r="J207" s="1" t="s">
        <v>1775</v>
      </c>
      <c r="K207" s="1"/>
    </row>
    <row r="208" spans="1:11" x14ac:dyDescent="0.25">
      <c r="A208" s="1" t="s">
        <v>382</v>
      </c>
      <c r="B208" s="1" t="s">
        <v>2346</v>
      </c>
      <c r="C208" s="1" t="s">
        <v>103</v>
      </c>
      <c r="D208" s="1" t="s">
        <v>2347</v>
      </c>
      <c r="E208" s="1" t="s">
        <v>107</v>
      </c>
      <c r="F208" s="134">
        <v>45981</v>
      </c>
      <c r="G208" s="134">
        <v>45986</v>
      </c>
      <c r="H208" s="1" t="s">
        <v>587</v>
      </c>
      <c r="I208" s="1" t="s">
        <v>1904</v>
      </c>
      <c r="J208" s="1" t="s">
        <v>1775</v>
      </c>
      <c r="K208" s="1"/>
    </row>
    <row r="209" spans="1:11" hidden="1" x14ac:dyDescent="0.25">
      <c r="A209" s="1" t="s">
        <v>382</v>
      </c>
      <c r="B209" s="1" t="s">
        <v>2348</v>
      </c>
      <c r="C209" s="1" t="s">
        <v>105</v>
      </c>
      <c r="D209" s="1" t="s">
        <v>2349</v>
      </c>
      <c r="E209" s="1" t="s">
        <v>98</v>
      </c>
      <c r="F209" s="134">
        <v>45981</v>
      </c>
      <c r="G209" s="1"/>
      <c r="H209" s="1" t="s">
        <v>587</v>
      </c>
      <c r="I209" s="1" t="s">
        <v>1904</v>
      </c>
      <c r="J209" s="1" t="s">
        <v>1775</v>
      </c>
      <c r="K209" s="1"/>
    </row>
    <row r="210" spans="1:11" hidden="1" x14ac:dyDescent="0.25">
      <c r="A210" s="1" t="s">
        <v>382</v>
      </c>
      <c r="B210" s="1" t="s">
        <v>2350</v>
      </c>
      <c r="C210" s="1" t="s">
        <v>102</v>
      </c>
      <c r="D210" s="1" t="s">
        <v>2297</v>
      </c>
      <c r="E210" s="1" t="s">
        <v>98</v>
      </c>
      <c r="F210" s="134">
        <v>45981</v>
      </c>
      <c r="G210" s="1"/>
      <c r="H210" s="1" t="s">
        <v>587</v>
      </c>
      <c r="I210" s="1" t="s">
        <v>1904</v>
      </c>
      <c r="J210" s="1" t="s">
        <v>1775</v>
      </c>
      <c r="K210" s="1"/>
    </row>
    <row r="211" spans="1:11" ht="52.8" hidden="1" x14ac:dyDescent="0.25">
      <c r="A211" s="1" t="s">
        <v>51</v>
      </c>
      <c r="B211" s="1" t="s">
        <v>2351</v>
      </c>
      <c r="C211" s="1" t="s">
        <v>102</v>
      </c>
      <c r="D211" s="1" t="s">
        <v>2352</v>
      </c>
      <c r="E211" s="1" t="s">
        <v>98</v>
      </c>
      <c r="F211" s="134">
        <v>45981</v>
      </c>
      <c r="G211" s="134">
        <v>46003</v>
      </c>
      <c r="H211" s="1" t="s">
        <v>443</v>
      </c>
      <c r="I211" s="1" t="s">
        <v>2353</v>
      </c>
      <c r="J211" s="135" t="s">
        <v>2354</v>
      </c>
      <c r="K211" s="1"/>
    </row>
    <row r="212" spans="1:11" x14ac:dyDescent="0.25">
      <c r="A212" s="1" t="s">
        <v>51</v>
      </c>
      <c r="B212" s="1" t="s">
        <v>2355</v>
      </c>
      <c r="C212" s="1" t="s">
        <v>104</v>
      </c>
      <c r="D212" s="1" t="s">
        <v>2356</v>
      </c>
      <c r="E212" s="1" t="s">
        <v>98</v>
      </c>
      <c r="F212" s="134">
        <v>45982</v>
      </c>
      <c r="G212" s="134">
        <v>45985</v>
      </c>
      <c r="H212" s="1" t="s">
        <v>432</v>
      </c>
      <c r="I212" s="1" t="s">
        <v>2357</v>
      </c>
      <c r="J212" s="1" t="s">
        <v>1248</v>
      </c>
      <c r="K212" s="1"/>
    </row>
    <row r="213" spans="1:11" hidden="1" x14ac:dyDescent="0.25">
      <c r="A213" s="1" t="s">
        <v>375</v>
      </c>
      <c r="B213" s="1" t="s">
        <v>2358</v>
      </c>
      <c r="C213" s="1" t="s">
        <v>104</v>
      </c>
      <c r="D213" s="1" t="s">
        <v>1009</v>
      </c>
      <c r="E213" s="1" t="s">
        <v>98</v>
      </c>
      <c r="F213" s="134">
        <v>45982</v>
      </c>
      <c r="G213" s="1"/>
      <c r="H213" s="1" t="s">
        <v>487</v>
      </c>
      <c r="I213" s="1" t="s">
        <v>633</v>
      </c>
      <c r="J213" s="1" t="s">
        <v>488</v>
      </c>
      <c r="K213" s="1"/>
    </row>
    <row r="214" spans="1:11" x14ac:dyDescent="0.25">
      <c r="A214" s="1" t="s">
        <v>376</v>
      </c>
      <c r="B214" s="1" t="s">
        <v>2359</v>
      </c>
      <c r="C214" s="1" t="s">
        <v>1479</v>
      </c>
      <c r="D214" s="1" t="s">
        <v>2360</v>
      </c>
      <c r="E214" s="1" t="s">
        <v>98</v>
      </c>
      <c r="F214" s="134">
        <v>45984</v>
      </c>
      <c r="G214" s="134">
        <v>45989</v>
      </c>
      <c r="H214" s="1" t="s">
        <v>487</v>
      </c>
      <c r="I214" s="1" t="s">
        <v>1480</v>
      </c>
      <c r="J214" s="1" t="s">
        <v>488</v>
      </c>
      <c r="K214" s="1"/>
    </row>
  </sheetData>
  <autoFilter ref="A2:K214" xr:uid="{00000000-0001-0000-0500-000000000000}">
    <filterColumn colId="6">
      <dynamicFilter type="thisWeek" val="45984" maxVal="45991"/>
    </filterColumn>
    <filterColumn colId="10">
      <filters blank="1"/>
    </filterColumn>
  </autoFilter>
  <mergeCells count="1">
    <mergeCell ref="A1:G1"/>
  </mergeCell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5">
    <tabColor rgb="FF00B050"/>
  </sheetPr>
  <dimension ref="A1:E355"/>
  <sheetViews>
    <sheetView workbookViewId="0">
      <selection activeCell="E28" sqref="E28"/>
    </sheetView>
  </sheetViews>
  <sheetFormatPr defaultColWidth="9.33203125" defaultRowHeight="13.2" x14ac:dyDescent="0.25"/>
  <cols>
    <col min="1" max="1" width="15.6640625" bestFit="1" customWidth="1"/>
    <col min="2" max="2" width="19.6640625" bestFit="1" customWidth="1"/>
    <col min="3" max="3" width="17.6640625" bestFit="1" customWidth="1"/>
    <col min="4" max="4" width="21.33203125" bestFit="1" customWidth="1"/>
    <col min="5" max="5" width="39.33203125" customWidth="1"/>
  </cols>
  <sheetData>
    <row r="1" spans="1:5" x14ac:dyDescent="0.25">
      <c r="A1" s="117" t="s">
        <v>109</v>
      </c>
      <c r="B1" s="117" t="s">
        <v>110</v>
      </c>
      <c r="C1" s="117" t="s">
        <v>111</v>
      </c>
      <c r="D1" s="117" t="s">
        <v>112</v>
      </c>
      <c r="E1" s="117" t="s">
        <v>78</v>
      </c>
    </row>
    <row r="2" spans="1:5" x14ac:dyDescent="0.25">
      <c r="A2" s="118" t="s">
        <v>113</v>
      </c>
      <c r="B2" s="120">
        <v>41</v>
      </c>
      <c r="C2" s="119">
        <f>SUMIFS(PromicsData!V:V,PromicsData!N:N,"R"&amp;RIGHT(A2,8))</f>
        <v>0</v>
      </c>
      <c r="D2" s="122">
        <f>(C2-B2)/B2</f>
        <v>-1</v>
      </c>
      <c r="E2" s="121"/>
    </row>
    <row r="3" spans="1:5" x14ac:dyDescent="0.25">
      <c r="A3" s="118" t="s">
        <v>114</v>
      </c>
      <c r="B3" s="120">
        <v>8</v>
      </c>
      <c r="C3" s="119">
        <f>SUMIFS(PromicsData!V:V,PromicsData!N:N,"R"&amp;RIGHT(A3,8))</f>
        <v>0</v>
      </c>
      <c r="D3" s="122">
        <f>(C3-B3)/B3</f>
        <v>-1</v>
      </c>
      <c r="E3" s="121"/>
    </row>
    <row r="4" spans="1:5" x14ac:dyDescent="0.25">
      <c r="A4" s="118" t="s">
        <v>115</v>
      </c>
      <c r="B4" s="120">
        <v>6</v>
      </c>
      <c r="C4" s="119">
        <f>SUMIFS(PromicsData!V:V,PromicsData!N:N,"R"&amp;RIGHT(A4,8))</f>
        <v>0</v>
      </c>
      <c r="D4" s="122">
        <f>(C4-B4)/B4</f>
        <v>-1</v>
      </c>
      <c r="E4" s="121"/>
    </row>
    <row r="5" spans="1:5" x14ac:dyDescent="0.25">
      <c r="A5" s="118" t="s">
        <v>116</v>
      </c>
      <c r="B5" s="120">
        <v>5</v>
      </c>
      <c r="C5" s="119">
        <f>SUMIFS(PromicsData!V:V,PromicsData!N:N,"R"&amp;RIGHT(A5,8))</f>
        <v>0</v>
      </c>
      <c r="D5" s="122">
        <f>(C5-B5)/B5</f>
        <v>-1</v>
      </c>
      <c r="E5" s="121"/>
    </row>
    <row r="6" spans="1:5" x14ac:dyDescent="0.25">
      <c r="A6" s="118"/>
      <c r="B6" s="120"/>
      <c r="C6" s="119"/>
      <c r="D6" s="122"/>
      <c r="E6" s="121"/>
    </row>
    <row r="7" spans="1:5" x14ac:dyDescent="0.25">
      <c r="A7" s="118"/>
      <c r="B7" s="120"/>
      <c r="C7" s="119"/>
      <c r="D7" s="122"/>
      <c r="E7" s="121"/>
    </row>
    <row r="8" spans="1:5" x14ac:dyDescent="0.25">
      <c r="A8" s="118"/>
      <c r="B8" s="120"/>
      <c r="C8" s="119"/>
      <c r="D8" s="122"/>
      <c r="E8" s="121"/>
    </row>
    <row r="9" spans="1:5" x14ac:dyDescent="0.25">
      <c r="A9" s="118"/>
      <c r="B9" s="120"/>
      <c r="C9" s="119"/>
      <c r="D9" s="122"/>
      <c r="E9" s="121"/>
    </row>
    <row r="10" spans="1:5" x14ac:dyDescent="0.25">
      <c r="A10" s="118"/>
      <c r="B10" s="120"/>
      <c r="C10" s="119"/>
      <c r="D10" s="122"/>
      <c r="E10" s="121"/>
    </row>
    <row r="11" spans="1:5" x14ac:dyDescent="0.25">
      <c r="A11" s="118"/>
      <c r="B11" s="120"/>
      <c r="C11" s="119"/>
      <c r="D11" s="122"/>
      <c r="E11" s="121"/>
    </row>
    <row r="12" spans="1:5" x14ac:dyDescent="0.25">
      <c r="A12" s="118"/>
      <c r="B12" s="120"/>
      <c r="C12" s="119"/>
      <c r="D12" s="122"/>
      <c r="E12" s="121"/>
    </row>
    <row r="13" spans="1:5" x14ac:dyDescent="0.25">
      <c r="A13" s="118"/>
      <c r="B13" s="120"/>
      <c r="C13" s="119"/>
      <c r="D13" s="122"/>
      <c r="E13" s="121"/>
    </row>
    <row r="14" spans="1:5" x14ac:dyDescent="0.25">
      <c r="A14" s="118"/>
      <c r="B14" s="120"/>
      <c r="C14" s="119"/>
      <c r="D14" s="122"/>
      <c r="E14" s="121"/>
    </row>
    <row r="15" spans="1:5" x14ac:dyDescent="0.25">
      <c r="A15" s="118"/>
      <c r="B15" s="120"/>
      <c r="C15" s="119"/>
      <c r="D15" s="122"/>
      <c r="E15" s="121"/>
    </row>
    <row r="16" spans="1:5" x14ac:dyDescent="0.25">
      <c r="A16" s="118"/>
      <c r="B16" s="120"/>
      <c r="C16" s="119"/>
      <c r="D16" s="122"/>
      <c r="E16" s="121"/>
    </row>
    <row r="17" spans="1:5" x14ac:dyDescent="0.25">
      <c r="A17" s="118"/>
      <c r="B17" s="120"/>
      <c r="C17" s="119"/>
      <c r="D17" s="122"/>
      <c r="E17" s="121"/>
    </row>
    <row r="18" spans="1:5" x14ac:dyDescent="0.25">
      <c r="A18" s="118"/>
      <c r="B18" s="120"/>
      <c r="C18" s="119"/>
      <c r="D18" s="122"/>
      <c r="E18" s="121"/>
    </row>
    <row r="19" spans="1:5" x14ac:dyDescent="0.25">
      <c r="A19" s="118"/>
      <c r="B19" s="120"/>
      <c r="C19" s="119"/>
      <c r="D19" s="122"/>
      <c r="E19" s="121"/>
    </row>
    <row r="20" spans="1:5" x14ac:dyDescent="0.25">
      <c r="A20" s="118"/>
      <c r="B20" s="120"/>
      <c r="C20" s="119"/>
      <c r="D20" s="122"/>
      <c r="E20" s="121"/>
    </row>
    <row r="21" spans="1:5" x14ac:dyDescent="0.25">
      <c r="A21" s="118"/>
      <c r="B21" s="120"/>
      <c r="C21" s="119"/>
      <c r="D21" s="122"/>
      <c r="E21" s="121"/>
    </row>
    <row r="22" spans="1:5" x14ac:dyDescent="0.25">
      <c r="A22" s="118"/>
      <c r="B22" s="120"/>
      <c r="C22" s="119"/>
      <c r="D22" s="122"/>
      <c r="E22" s="121"/>
    </row>
    <row r="23" spans="1:5" x14ac:dyDescent="0.25">
      <c r="A23" s="118"/>
      <c r="B23" s="120"/>
      <c r="C23" s="119"/>
      <c r="D23" s="122"/>
      <c r="E23" s="121"/>
    </row>
    <row r="24" spans="1:5" x14ac:dyDescent="0.25">
      <c r="A24" s="118"/>
      <c r="B24" s="120"/>
      <c r="C24" s="119"/>
      <c r="D24" s="122"/>
      <c r="E24" s="121"/>
    </row>
    <row r="25" spans="1:5" x14ac:dyDescent="0.25">
      <c r="A25" s="118"/>
      <c r="B25" s="120"/>
      <c r="C25" s="119"/>
      <c r="D25" s="122"/>
      <c r="E25" s="121"/>
    </row>
    <row r="26" spans="1:5" x14ac:dyDescent="0.25">
      <c r="A26" s="118"/>
      <c r="B26" s="120"/>
      <c r="C26" s="119"/>
      <c r="D26" s="122"/>
      <c r="E26" s="121"/>
    </row>
    <row r="27" spans="1:5" x14ac:dyDescent="0.25">
      <c r="A27" s="118"/>
      <c r="B27" s="120"/>
      <c r="C27" s="119"/>
      <c r="D27" s="122"/>
      <c r="E27" s="121"/>
    </row>
    <row r="28" spans="1:5" x14ac:dyDescent="0.25">
      <c r="A28" s="118"/>
      <c r="B28" s="120"/>
      <c r="C28" s="119"/>
      <c r="D28" s="122"/>
      <c r="E28" s="121"/>
    </row>
    <row r="29" spans="1:5" x14ac:dyDescent="0.25">
      <c r="A29" s="118"/>
      <c r="B29" s="120"/>
      <c r="C29" s="119"/>
      <c r="D29" s="122"/>
      <c r="E29" s="121"/>
    </row>
    <row r="30" spans="1:5" x14ac:dyDescent="0.25">
      <c r="A30" s="118"/>
      <c r="B30" s="120"/>
      <c r="C30" s="119"/>
      <c r="D30" s="122"/>
      <c r="E30" s="121"/>
    </row>
    <row r="31" spans="1:5" x14ac:dyDescent="0.25">
      <c r="A31" s="118"/>
      <c r="B31" s="120"/>
      <c r="C31" s="119"/>
      <c r="D31" s="122"/>
      <c r="E31" s="121"/>
    </row>
    <row r="32" spans="1:5" x14ac:dyDescent="0.25">
      <c r="A32" s="118"/>
      <c r="B32" s="120"/>
      <c r="C32" s="119"/>
      <c r="D32" s="122"/>
      <c r="E32" s="121"/>
    </row>
    <row r="33" spans="1:5" x14ac:dyDescent="0.25">
      <c r="A33" s="118"/>
      <c r="B33" s="120"/>
      <c r="C33" s="119"/>
      <c r="D33" s="122"/>
      <c r="E33" s="121"/>
    </row>
    <row r="34" spans="1:5" x14ac:dyDescent="0.25">
      <c r="A34" s="118"/>
      <c r="B34" s="120"/>
      <c r="C34" s="119"/>
      <c r="D34" s="122"/>
      <c r="E34" s="121"/>
    </row>
    <row r="35" spans="1:5" x14ac:dyDescent="0.25">
      <c r="A35" s="118"/>
      <c r="B35" s="120"/>
      <c r="C35" s="119"/>
      <c r="D35" s="122"/>
      <c r="E35" s="121"/>
    </row>
    <row r="36" spans="1:5" x14ac:dyDescent="0.25">
      <c r="A36" s="118"/>
      <c r="B36" s="120"/>
      <c r="C36" s="119"/>
      <c r="D36" s="122"/>
      <c r="E36" s="121"/>
    </row>
    <row r="37" spans="1:5" x14ac:dyDescent="0.25">
      <c r="A37" s="118"/>
      <c r="B37" s="120"/>
      <c r="C37" s="119"/>
      <c r="D37" s="122"/>
      <c r="E37" s="121"/>
    </row>
    <row r="38" spans="1:5" x14ac:dyDescent="0.25">
      <c r="A38" s="118"/>
      <c r="B38" s="120"/>
      <c r="C38" s="119"/>
      <c r="D38" s="122"/>
      <c r="E38" s="121"/>
    </row>
    <row r="39" spans="1:5" x14ac:dyDescent="0.25">
      <c r="A39" s="118"/>
      <c r="B39" s="120"/>
      <c r="C39" s="119"/>
      <c r="D39" s="122"/>
      <c r="E39" s="121"/>
    </row>
    <row r="40" spans="1:5" x14ac:dyDescent="0.25">
      <c r="A40" s="118"/>
      <c r="B40" s="120"/>
      <c r="C40" s="119"/>
      <c r="D40" s="122"/>
      <c r="E40" s="121"/>
    </row>
    <row r="41" spans="1:5" x14ac:dyDescent="0.25">
      <c r="A41" s="118"/>
      <c r="B41" s="120"/>
      <c r="C41" s="119"/>
      <c r="D41" s="122"/>
      <c r="E41" s="121"/>
    </row>
    <row r="42" spans="1:5" x14ac:dyDescent="0.25">
      <c r="A42" s="118"/>
      <c r="B42" s="120"/>
      <c r="C42" s="119"/>
      <c r="D42" s="122"/>
      <c r="E42" s="121"/>
    </row>
    <row r="43" spans="1:5" x14ac:dyDescent="0.25">
      <c r="A43" s="118"/>
      <c r="B43" s="120"/>
      <c r="C43" s="119"/>
      <c r="D43" s="122"/>
      <c r="E43" s="121"/>
    </row>
    <row r="44" spans="1:5" x14ac:dyDescent="0.25">
      <c r="A44" s="118"/>
      <c r="B44" s="120"/>
      <c r="C44" s="119"/>
      <c r="D44" s="122"/>
      <c r="E44" s="121"/>
    </row>
    <row r="45" spans="1:5" x14ac:dyDescent="0.25">
      <c r="A45" s="118"/>
      <c r="B45" s="120"/>
      <c r="C45" s="119"/>
      <c r="D45" s="122"/>
      <c r="E45" s="121"/>
    </row>
    <row r="46" spans="1:5" x14ac:dyDescent="0.25">
      <c r="A46" s="118"/>
      <c r="B46" s="120"/>
      <c r="C46" s="119"/>
      <c r="D46" s="122"/>
      <c r="E46" s="121"/>
    </row>
    <row r="47" spans="1:5" x14ac:dyDescent="0.25">
      <c r="A47" s="118"/>
      <c r="B47" s="120"/>
      <c r="C47" s="119"/>
      <c r="D47" s="122"/>
      <c r="E47" s="121"/>
    </row>
    <row r="48" spans="1:5" x14ac:dyDescent="0.25">
      <c r="A48" s="118"/>
      <c r="B48" s="120"/>
      <c r="C48" s="119"/>
      <c r="D48" s="122"/>
      <c r="E48" s="121"/>
    </row>
    <row r="49" spans="1:5" x14ac:dyDescent="0.25">
      <c r="A49" s="118"/>
      <c r="B49" s="120"/>
      <c r="C49" s="119"/>
      <c r="D49" s="122"/>
      <c r="E49" s="121"/>
    </row>
    <row r="50" spans="1:5" x14ac:dyDescent="0.25">
      <c r="A50" s="118"/>
      <c r="B50" s="120"/>
      <c r="C50" s="119"/>
      <c r="D50" s="122"/>
      <c r="E50" s="121"/>
    </row>
    <row r="51" spans="1:5" x14ac:dyDescent="0.25">
      <c r="A51" s="118"/>
      <c r="B51" s="120"/>
      <c r="C51" s="119"/>
      <c r="D51" s="122"/>
      <c r="E51" s="121"/>
    </row>
    <row r="52" spans="1:5" x14ac:dyDescent="0.25">
      <c r="A52" s="118"/>
      <c r="B52" s="120"/>
      <c r="C52" s="119"/>
      <c r="D52" s="122"/>
      <c r="E52" s="121"/>
    </row>
    <row r="53" spans="1:5" x14ac:dyDescent="0.25">
      <c r="A53" s="118"/>
      <c r="B53" s="120"/>
      <c r="C53" s="119"/>
      <c r="D53" s="122"/>
      <c r="E53" s="121"/>
    </row>
    <row r="54" spans="1:5" x14ac:dyDescent="0.25">
      <c r="A54" s="118"/>
      <c r="B54" s="120"/>
      <c r="C54" s="119"/>
      <c r="D54" s="122"/>
      <c r="E54" s="121"/>
    </row>
    <row r="55" spans="1:5" x14ac:dyDescent="0.25">
      <c r="A55" s="118"/>
      <c r="B55" s="120"/>
      <c r="C55" s="119"/>
      <c r="D55" s="122"/>
      <c r="E55" s="121"/>
    </row>
    <row r="56" spans="1:5" x14ac:dyDescent="0.25">
      <c r="A56" s="118"/>
      <c r="B56" s="120"/>
      <c r="C56" s="119"/>
      <c r="D56" s="122"/>
      <c r="E56" s="121"/>
    </row>
    <row r="57" spans="1:5" x14ac:dyDescent="0.25">
      <c r="A57" s="118"/>
      <c r="B57" s="120"/>
      <c r="C57" s="119"/>
      <c r="D57" s="122"/>
      <c r="E57" s="121"/>
    </row>
    <row r="58" spans="1:5" x14ac:dyDescent="0.25">
      <c r="A58" s="118"/>
      <c r="B58" s="120"/>
      <c r="C58" s="119"/>
      <c r="D58" s="122"/>
      <c r="E58" s="121"/>
    </row>
    <row r="59" spans="1:5" x14ac:dyDescent="0.25">
      <c r="A59" s="118"/>
      <c r="B59" s="120"/>
      <c r="C59" s="119"/>
      <c r="D59" s="122"/>
      <c r="E59" s="121"/>
    </row>
    <row r="60" spans="1:5" x14ac:dyDescent="0.25">
      <c r="A60" s="118"/>
      <c r="B60" s="120"/>
      <c r="C60" s="119"/>
      <c r="D60" s="122"/>
      <c r="E60" s="121"/>
    </row>
    <row r="61" spans="1:5" x14ac:dyDescent="0.25">
      <c r="A61" s="118"/>
      <c r="B61" s="120"/>
      <c r="C61" s="119"/>
      <c r="D61" s="122"/>
      <c r="E61" s="121"/>
    </row>
    <row r="62" spans="1:5" x14ac:dyDescent="0.25">
      <c r="A62" s="118"/>
      <c r="B62" s="120"/>
      <c r="C62" s="119"/>
      <c r="D62" s="122"/>
      <c r="E62" s="121"/>
    </row>
    <row r="63" spans="1:5" x14ac:dyDescent="0.25">
      <c r="A63" s="118"/>
      <c r="B63" s="120"/>
      <c r="C63" s="119"/>
      <c r="D63" s="122"/>
      <c r="E63" s="121"/>
    </row>
    <row r="64" spans="1:5" x14ac:dyDescent="0.25">
      <c r="A64" s="118"/>
      <c r="B64" s="120"/>
      <c r="C64" s="119"/>
      <c r="D64" s="122"/>
      <c r="E64" s="121"/>
    </row>
    <row r="65" spans="1:5" x14ac:dyDescent="0.25">
      <c r="A65" s="118"/>
      <c r="B65" s="120"/>
      <c r="C65" s="119"/>
      <c r="D65" s="122"/>
      <c r="E65" s="121"/>
    </row>
    <row r="66" spans="1:5" x14ac:dyDescent="0.25">
      <c r="A66" s="118"/>
      <c r="B66" s="120"/>
      <c r="C66" s="119"/>
      <c r="D66" s="122"/>
      <c r="E66" s="121"/>
    </row>
    <row r="67" spans="1:5" x14ac:dyDescent="0.25">
      <c r="A67" s="118"/>
      <c r="B67" s="120"/>
      <c r="C67" s="119"/>
      <c r="D67" s="122"/>
      <c r="E67" s="121"/>
    </row>
    <row r="68" spans="1:5" x14ac:dyDescent="0.25">
      <c r="A68" s="118"/>
      <c r="B68" s="120"/>
      <c r="C68" s="119"/>
      <c r="D68" s="122"/>
      <c r="E68" s="121"/>
    </row>
    <row r="69" spans="1:5" x14ac:dyDescent="0.25">
      <c r="A69" s="118"/>
      <c r="B69" s="120"/>
      <c r="C69" s="119"/>
      <c r="D69" s="122"/>
      <c r="E69" s="121"/>
    </row>
    <row r="70" spans="1:5" x14ac:dyDescent="0.25">
      <c r="A70" s="118"/>
      <c r="B70" s="120"/>
      <c r="C70" s="119"/>
      <c r="D70" s="122"/>
      <c r="E70" s="121"/>
    </row>
    <row r="71" spans="1:5" x14ac:dyDescent="0.25">
      <c r="A71" s="118"/>
      <c r="B71" s="120"/>
      <c r="C71" s="119"/>
      <c r="D71" s="122"/>
      <c r="E71" s="121"/>
    </row>
    <row r="72" spans="1:5" x14ac:dyDescent="0.25">
      <c r="A72" s="118"/>
      <c r="B72" s="120"/>
      <c r="C72" s="119"/>
      <c r="D72" s="122"/>
      <c r="E72" s="121"/>
    </row>
    <row r="73" spans="1:5" x14ac:dyDescent="0.25">
      <c r="A73" s="118"/>
      <c r="B73" s="120"/>
      <c r="C73" s="119"/>
      <c r="D73" s="122"/>
      <c r="E73" s="121"/>
    </row>
    <row r="74" spans="1:5" x14ac:dyDescent="0.25">
      <c r="A74" s="118"/>
      <c r="B74" s="120"/>
      <c r="C74" s="119"/>
      <c r="D74" s="122"/>
      <c r="E74" s="121"/>
    </row>
    <row r="75" spans="1:5" x14ac:dyDescent="0.25">
      <c r="A75" s="118"/>
      <c r="B75" s="120"/>
      <c r="C75" s="119"/>
      <c r="D75" s="122"/>
      <c r="E75" s="121"/>
    </row>
    <row r="76" spans="1:5" x14ac:dyDescent="0.25">
      <c r="A76" s="118"/>
      <c r="B76" s="120"/>
      <c r="C76" s="119"/>
      <c r="D76" s="122"/>
      <c r="E76" s="121"/>
    </row>
    <row r="77" spans="1:5" x14ac:dyDescent="0.25">
      <c r="A77" s="118"/>
      <c r="B77" s="120"/>
      <c r="C77" s="119"/>
      <c r="D77" s="122"/>
      <c r="E77" s="121"/>
    </row>
    <row r="78" spans="1:5" x14ac:dyDescent="0.25">
      <c r="A78" s="118"/>
      <c r="B78" s="120"/>
      <c r="C78" s="119"/>
      <c r="D78" s="122"/>
      <c r="E78" s="121"/>
    </row>
    <row r="79" spans="1:5" x14ac:dyDescent="0.25">
      <c r="A79" s="118"/>
      <c r="B79" s="120"/>
      <c r="C79" s="119"/>
      <c r="D79" s="122"/>
      <c r="E79" s="121"/>
    </row>
    <row r="80" spans="1:5" x14ac:dyDescent="0.25">
      <c r="A80" s="118"/>
      <c r="B80" s="120"/>
      <c r="C80" s="119"/>
      <c r="D80" s="122"/>
      <c r="E80" s="121"/>
    </row>
    <row r="81" spans="1:5" x14ac:dyDescent="0.25">
      <c r="A81" s="118"/>
      <c r="B81" s="120"/>
      <c r="C81" s="119"/>
      <c r="D81" s="122"/>
      <c r="E81" s="121"/>
    </row>
    <row r="82" spans="1:5" x14ac:dyDescent="0.25">
      <c r="A82" s="118"/>
      <c r="B82" s="120"/>
      <c r="C82" s="119"/>
      <c r="D82" s="122"/>
      <c r="E82" s="121"/>
    </row>
    <row r="83" spans="1:5" x14ac:dyDescent="0.25">
      <c r="A83" s="118"/>
      <c r="B83" s="120"/>
      <c r="C83" s="119"/>
      <c r="D83" s="122"/>
      <c r="E83" s="121"/>
    </row>
    <row r="84" spans="1:5" x14ac:dyDescent="0.25">
      <c r="A84" s="118"/>
      <c r="B84" s="120"/>
      <c r="C84" s="119"/>
      <c r="D84" s="122"/>
      <c r="E84" s="121"/>
    </row>
    <row r="85" spans="1:5" x14ac:dyDescent="0.25">
      <c r="A85" s="118"/>
      <c r="B85" s="120"/>
      <c r="C85" s="119"/>
      <c r="D85" s="122"/>
      <c r="E85" s="121"/>
    </row>
    <row r="86" spans="1:5" x14ac:dyDescent="0.25">
      <c r="A86" s="118"/>
      <c r="B86" s="120"/>
      <c r="C86" s="119"/>
      <c r="D86" s="122"/>
      <c r="E86" s="121"/>
    </row>
    <row r="87" spans="1:5" x14ac:dyDescent="0.25">
      <c r="A87" s="118"/>
      <c r="B87" s="120"/>
      <c r="C87" s="119"/>
      <c r="D87" s="122"/>
      <c r="E87" s="121"/>
    </row>
    <row r="88" spans="1:5" x14ac:dyDescent="0.25">
      <c r="A88" s="118"/>
      <c r="B88" s="120"/>
      <c r="C88" s="119"/>
      <c r="D88" s="122"/>
      <c r="E88" s="121"/>
    </row>
    <row r="89" spans="1:5" x14ac:dyDescent="0.25">
      <c r="A89" s="118"/>
      <c r="B89" s="120"/>
      <c r="C89" s="119"/>
      <c r="D89" s="122"/>
      <c r="E89" s="121"/>
    </row>
    <row r="90" spans="1:5" x14ac:dyDescent="0.25">
      <c r="A90" s="118"/>
      <c r="B90" s="120"/>
      <c r="C90" s="119"/>
      <c r="D90" s="122"/>
      <c r="E90" s="121"/>
    </row>
    <row r="91" spans="1:5" x14ac:dyDescent="0.25">
      <c r="A91" s="118"/>
      <c r="B91" s="120"/>
      <c r="C91" s="119"/>
      <c r="D91" s="122"/>
      <c r="E91" s="121"/>
    </row>
    <row r="92" spans="1:5" x14ac:dyDescent="0.25">
      <c r="A92" s="118"/>
      <c r="B92" s="120"/>
      <c r="C92" s="119"/>
      <c r="D92" s="122"/>
      <c r="E92" s="121"/>
    </row>
    <row r="93" spans="1:5" x14ac:dyDescent="0.25">
      <c r="A93" s="118"/>
      <c r="B93" s="120"/>
      <c r="C93" s="119"/>
      <c r="D93" s="122"/>
      <c r="E93" s="121"/>
    </row>
    <row r="94" spans="1:5" x14ac:dyDescent="0.25">
      <c r="A94" s="118"/>
      <c r="B94" s="120"/>
      <c r="C94" s="119"/>
      <c r="D94" s="122"/>
      <c r="E94" s="121"/>
    </row>
    <row r="95" spans="1:5" x14ac:dyDescent="0.25">
      <c r="A95" s="118"/>
      <c r="B95" s="120"/>
      <c r="C95" s="119"/>
      <c r="D95" s="122"/>
      <c r="E95" s="121"/>
    </row>
    <row r="96" spans="1:5" x14ac:dyDescent="0.25">
      <c r="A96" s="118"/>
      <c r="B96" s="120"/>
      <c r="C96" s="119"/>
      <c r="D96" s="122"/>
      <c r="E96" s="121"/>
    </row>
    <row r="97" spans="1:5" x14ac:dyDescent="0.25">
      <c r="A97" s="118"/>
      <c r="B97" s="120"/>
      <c r="C97" s="119"/>
      <c r="D97" s="122"/>
      <c r="E97" s="121"/>
    </row>
    <row r="98" spans="1:5" x14ac:dyDescent="0.25">
      <c r="A98" s="118"/>
      <c r="B98" s="120"/>
      <c r="C98" s="119"/>
      <c r="D98" s="122"/>
      <c r="E98" s="121"/>
    </row>
    <row r="99" spans="1:5" x14ac:dyDescent="0.25">
      <c r="A99" s="118"/>
      <c r="B99" s="120"/>
      <c r="C99" s="119"/>
      <c r="D99" s="122"/>
      <c r="E99" s="121"/>
    </row>
    <row r="100" spans="1:5" x14ac:dyDescent="0.25">
      <c r="A100" s="118"/>
      <c r="B100" s="120"/>
      <c r="C100" s="119"/>
      <c r="D100" s="122"/>
      <c r="E100" s="121"/>
    </row>
    <row r="101" spans="1:5" x14ac:dyDescent="0.25">
      <c r="A101" s="118"/>
      <c r="B101" s="120"/>
      <c r="C101" s="119"/>
      <c r="D101" s="122"/>
      <c r="E101" s="121"/>
    </row>
    <row r="102" spans="1:5" x14ac:dyDescent="0.25">
      <c r="A102" s="118"/>
      <c r="B102" s="120"/>
      <c r="C102" s="119"/>
      <c r="D102" s="122"/>
      <c r="E102" s="121"/>
    </row>
    <row r="103" spans="1:5" x14ac:dyDescent="0.25">
      <c r="A103" s="118"/>
      <c r="B103" s="120"/>
      <c r="C103" s="119"/>
      <c r="D103" s="122"/>
      <c r="E103" s="121"/>
    </row>
    <row r="104" spans="1:5" x14ac:dyDescent="0.25">
      <c r="A104" s="118"/>
      <c r="B104" s="120"/>
      <c r="C104" s="119"/>
      <c r="D104" s="122"/>
      <c r="E104" s="121"/>
    </row>
    <row r="105" spans="1:5" x14ac:dyDescent="0.25">
      <c r="A105" s="118"/>
      <c r="B105" s="120"/>
      <c r="C105" s="119"/>
      <c r="D105" s="122"/>
      <c r="E105" s="121"/>
    </row>
    <row r="106" spans="1:5" x14ac:dyDescent="0.25">
      <c r="A106" s="118"/>
      <c r="B106" s="120"/>
      <c r="C106" s="119"/>
      <c r="D106" s="122"/>
      <c r="E106" s="121"/>
    </row>
    <row r="107" spans="1:5" x14ac:dyDescent="0.25">
      <c r="A107" s="118"/>
      <c r="B107" s="120"/>
      <c r="C107" s="119"/>
      <c r="D107" s="122"/>
      <c r="E107" s="121"/>
    </row>
    <row r="108" spans="1:5" x14ac:dyDescent="0.25">
      <c r="A108" s="118"/>
      <c r="B108" s="120"/>
      <c r="C108" s="119"/>
      <c r="D108" s="122"/>
      <c r="E108" s="121"/>
    </row>
    <row r="109" spans="1:5" x14ac:dyDescent="0.25">
      <c r="A109" s="118"/>
      <c r="B109" s="120"/>
      <c r="C109" s="119"/>
      <c r="D109" s="122"/>
      <c r="E109" s="121"/>
    </row>
    <row r="110" spans="1:5" x14ac:dyDescent="0.25">
      <c r="A110" s="118"/>
      <c r="B110" s="120"/>
      <c r="C110" s="119"/>
      <c r="D110" s="122"/>
      <c r="E110" s="121"/>
    </row>
    <row r="111" spans="1:5" x14ac:dyDescent="0.25">
      <c r="A111" s="118"/>
      <c r="B111" s="120"/>
      <c r="C111" s="119"/>
      <c r="D111" s="122"/>
      <c r="E111" s="121"/>
    </row>
    <row r="112" spans="1:5" x14ac:dyDescent="0.25">
      <c r="A112" s="118"/>
      <c r="B112" s="120"/>
      <c r="C112" s="119"/>
      <c r="D112" s="122"/>
      <c r="E112" s="121"/>
    </row>
    <row r="113" spans="1:5" x14ac:dyDescent="0.25">
      <c r="A113" s="118"/>
      <c r="B113" s="120"/>
      <c r="C113" s="119"/>
      <c r="D113" s="122"/>
      <c r="E113" s="121"/>
    </row>
    <row r="114" spans="1:5" x14ac:dyDescent="0.25">
      <c r="A114" s="118"/>
      <c r="B114" s="120"/>
      <c r="C114" s="119"/>
      <c r="D114" s="122"/>
      <c r="E114" s="121"/>
    </row>
    <row r="115" spans="1:5" x14ac:dyDescent="0.25">
      <c r="A115" s="118"/>
      <c r="B115" s="120"/>
      <c r="C115" s="119"/>
      <c r="D115" s="122"/>
      <c r="E115" s="121"/>
    </row>
    <row r="116" spans="1:5" x14ac:dyDescent="0.25">
      <c r="A116" s="118"/>
      <c r="B116" s="120"/>
      <c r="C116" s="119"/>
      <c r="D116" s="122"/>
      <c r="E116" s="121"/>
    </row>
    <row r="117" spans="1:5" x14ac:dyDescent="0.25">
      <c r="A117" s="118"/>
      <c r="B117" s="120"/>
      <c r="C117" s="119"/>
      <c r="D117" s="122"/>
      <c r="E117" s="121"/>
    </row>
    <row r="118" spans="1:5" x14ac:dyDescent="0.25">
      <c r="A118" s="118"/>
      <c r="B118" s="120"/>
      <c r="C118" s="119"/>
      <c r="D118" s="122"/>
      <c r="E118" s="121"/>
    </row>
    <row r="119" spans="1:5" x14ac:dyDescent="0.25">
      <c r="A119" s="118"/>
      <c r="B119" s="120"/>
      <c r="C119" s="119"/>
      <c r="D119" s="122"/>
      <c r="E119" s="121"/>
    </row>
    <row r="120" spans="1:5" x14ac:dyDescent="0.25">
      <c r="A120" s="118"/>
      <c r="B120" s="120"/>
      <c r="C120" s="119"/>
      <c r="D120" s="122"/>
      <c r="E120" s="121"/>
    </row>
    <row r="121" spans="1:5" x14ac:dyDescent="0.25">
      <c r="A121" s="118"/>
      <c r="B121" s="120"/>
      <c r="C121" s="119"/>
      <c r="D121" s="122"/>
      <c r="E121" s="121"/>
    </row>
    <row r="122" spans="1:5" x14ac:dyDescent="0.25">
      <c r="A122" s="118"/>
      <c r="B122" s="120"/>
      <c r="C122" s="119"/>
      <c r="D122" s="122"/>
      <c r="E122" s="121"/>
    </row>
    <row r="123" spans="1:5" x14ac:dyDescent="0.25">
      <c r="A123" s="118"/>
      <c r="B123" s="120"/>
      <c r="C123" s="119"/>
      <c r="D123" s="122"/>
      <c r="E123" s="121"/>
    </row>
    <row r="124" spans="1:5" x14ac:dyDescent="0.25">
      <c r="A124" s="118"/>
      <c r="B124" s="120"/>
      <c r="C124" s="119"/>
      <c r="D124" s="122"/>
      <c r="E124" s="121"/>
    </row>
    <row r="125" spans="1:5" x14ac:dyDescent="0.25">
      <c r="A125" s="118"/>
      <c r="B125" s="120"/>
      <c r="C125" s="119"/>
      <c r="D125" s="122"/>
      <c r="E125" s="121"/>
    </row>
    <row r="126" spans="1:5" x14ac:dyDescent="0.25">
      <c r="A126" s="118"/>
      <c r="B126" s="120"/>
      <c r="C126" s="119"/>
      <c r="D126" s="122"/>
      <c r="E126" s="121"/>
    </row>
    <row r="127" spans="1:5" x14ac:dyDescent="0.25">
      <c r="A127" s="118"/>
      <c r="B127" s="120"/>
      <c r="C127" s="119"/>
      <c r="D127" s="122"/>
      <c r="E127" s="121"/>
    </row>
    <row r="128" spans="1:5" x14ac:dyDescent="0.25">
      <c r="A128" s="118"/>
      <c r="B128" s="120"/>
      <c r="C128" s="119"/>
      <c r="D128" s="122"/>
      <c r="E128" s="121"/>
    </row>
    <row r="129" spans="1:5" x14ac:dyDescent="0.25">
      <c r="A129" s="118"/>
      <c r="B129" s="120"/>
      <c r="C129" s="119"/>
      <c r="D129" s="122"/>
      <c r="E129" s="121"/>
    </row>
    <row r="130" spans="1:5" x14ac:dyDescent="0.25">
      <c r="A130" s="118"/>
      <c r="B130" s="120"/>
      <c r="C130" s="119"/>
      <c r="D130" s="122"/>
      <c r="E130" s="121"/>
    </row>
    <row r="131" spans="1:5" x14ac:dyDescent="0.25">
      <c r="A131" s="118"/>
      <c r="B131" s="120"/>
      <c r="C131" s="119"/>
      <c r="D131" s="122"/>
      <c r="E131" s="121"/>
    </row>
    <row r="132" spans="1:5" x14ac:dyDescent="0.25">
      <c r="A132" s="118"/>
      <c r="B132" s="120"/>
      <c r="C132" s="119"/>
      <c r="D132" s="122"/>
      <c r="E132" s="121"/>
    </row>
    <row r="133" spans="1:5" x14ac:dyDescent="0.25">
      <c r="A133" s="118"/>
      <c r="B133" s="120"/>
      <c r="C133" s="119"/>
      <c r="D133" s="122"/>
      <c r="E133" s="121"/>
    </row>
    <row r="134" spans="1:5" x14ac:dyDescent="0.25">
      <c r="A134" s="118"/>
      <c r="B134" s="120"/>
      <c r="C134" s="119"/>
      <c r="D134" s="122"/>
      <c r="E134" s="121"/>
    </row>
    <row r="135" spans="1:5" x14ac:dyDescent="0.25">
      <c r="A135" s="118"/>
      <c r="B135" s="120"/>
      <c r="C135" s="119"/>
      <c r="D135" s="122"/>
      <c r="E135" s="121"/>
    </row>
    <row r="136" spans="1:5" x14ac:dyDescent="0.25">
      <c r="A136" s="118"/>
      <c r="B136" s="120"/>
      <c r="C136" s="119"/>
      <c r="D136" s="122"/>
      <c r="E136" s="121"/>
    </row>
    <row r="137" spans="1:5" x14ac:dyDescent="0.25">
      <c r="A137" s="118"/>
      <c r="B137" s="120"/>
      <c r="C137" s="119"/>
      <c r="D137" s="122"/>
      <c r="E137" s="121"/>
    </row>
    <row r="138" spans="1:5" x14ac:dyDescent="0.25">
      <c r="A138" s="118"/>
      <c r="B138" s="120"/>
      <c r="C138" s="119"/>
      <c r="D138" s="122"/>
      <c r="E138" s="121"/>
    </row>
    <row r="139" spans="1:5" x14ac:dyDescent="0.25">
      <c r="A139" s="118"/>
      <c r="B139" s="120"/>
      <c r="C139" s="119"/>
      <c r="D139" s="122"/>
      <c r="E139" s="121"/>
    </row>
    <row r="140" spans="1:5" x14ac:dyDescent="0.25">
      <c r="A140" s="118"/>
      <c r="B140" s="120"/>
      <c r="C140" s="119"/>
      <c r="D140" s="122"/>
      <c r="E140" s="121"/>
    </row>
    <row r="141" spans="1:5" x14ac:dyDescent="0.25">
      <c r="A141" s="118"/>
      <c r="B141" s="120"/>
      <c r="C141" s="119"/>
      <c r="D141" s="122"/>
      <c r="E141" s="121"/>
    </row>
    <row r="142" spans="1:5" x14ac:dyDescent="0.25">
      <c r="A142" s="118"/>
      <c r="B142" s="120"/>
      <c r="C142" s="119"/>
      <c r="D142" s="122"/>
      <c r="E142" s="121"/>
    </row>
    <row r="143" spans="1:5" x14ac:dyDescent="0.25">
      <c r="A143" s="118"/>
      <c r="B143" s="120"/>
      <c r="C143" s="119"/>
      <c r="D143" s="122"/>
      <c r="E143" s="121"/>
    </row>
    <row r="144" spans="1:5" x14ac:dyDescent="0.25">
      <c r="A144" s="118"/>
      <c r="B144" s="120"/>
      <c r="C144" s="119"/>
      <c r="D144" s="122"/>
      <c r="E144" s="121"/>
    </row>
    <row r="145" spans="1:5" x14ac:dyDescent="0.25">
      <c r="A145" s="118"/>
      <c r="B145" s="120"/>
      <c r="C145" s="119"/>
      <c r="D145" s="122"/>
      <c r="E145" s="121"/>
    </row>
    <row r="146" spans="1:5" x14ac:dyDescent="0.25">
      <c r="A146" s="118"/>
      <c r="B146" s="120"/>
      <c r="C146" s="119"/>
      <c r="D146" s="122"/>
      <c r="E146" s="121"/>
    </row>
    <row r="147" spans="1:5" x14ac:dyDescent="0.25">
      <c r="A147" s="118"/>
      <c r="B147" s="120"/>
      <c r="C147" s="119"/>
      <c r="D147" s="122"/>
      <c r="E147" s="121"/>
    </row>
    <row r="148" spans="1:5" x14ac:dyDescent="0.25">
      <c r="A148" s="118"/>
      <c r="B148" s="120"/>
      <c r="C148" s="119"/>
      <c r="D148" s="122"/>
      <c r="E148" s="121"/>
    </row>
    <row r="149" spans="1:5" x14ac:dyDescent="0.25">
      <c r="A149" s="118"/>
      <c r="B149" s="120"/>
      <c r="C149" s="119"/>
      <c r="D149" s="122"/>
      <c r="E149" s="121"/>
    </row>
    <row r="150" spans="1:5" x14ac:dyDescent="0.25">
      <c r="A150" s="118"/>
      <c r="B150" s="120"/>
      <c r="C150" s="119"/>
      <c r="D150" s="122"/>
      <c r="E150" s="121"/>
    </row>
    <row r="151" spans="1:5" x14ac:dyDescent="0.25">
      <c r="A151" s="118"/>
      <c r="B151" s="120"/>
      <c r="C151" s="119"/>
      <c r="D151" s="122"/>
      <c r="E151" s="121"/>
    </row>
    <row r="152" spans="1:5" x14ac:dyDescent="0.25">
      <c r="A152" s="118"/>
      <c r="B152" s="120"/>
      <c r="C152" s="119"/>
      <c r="D152" s="122"/>
      <c r="E152" s="121"/>
    </row>
    <row r="153" spans="1:5" x14ac:dyDescent="0.25">
      <c r="A153" s="118"/>
      <c r="B153" s="120"/>
      <c r="C153" s="119"/>
      <c r="D153" s="122"/>
      <c r="E153" s="121"/>
    </row>
    <row r="154" spans="1:5" x14ac:dyDescent="0.25">
      <c r="A154" s="118"/>
      <c r="B154" s="120"/>
      <c r="C154" s="119"/>
      <c r="D154" s="122"/>
      <c r="E154" s="121"/>
    </row>
    <row r="155" spans="1:5" x14ac:dyDescent="0.25">
      <c r="A155" s="118"/>
      <c r="B155" s="120"/>
      <c r="C155" s="119"/>
      <c r="D155" s="122"/>
      <c r="E155" s="121"/>
    </row>
    <row r="156" spans="1:5" x14ac:dyDescent="0.25">
      <c r="A156" s="118"/>
      <c r="B156" s="120"/>
      <c r="C156" s="119"/>
      <c r="D156" s="122"/>
      <c r="E156" s="121"/>
    </row>
    <row r="157" spans="1:5" x14ac:dyDescent="0.25">
      <c r="A157" s="118"/>
      <c r="B157" s="120"/>
      <c r="C157" s="119"/>
      <c r="D157" s="122"/>
      <c r="E157" s="121"/>
    </row>
    <row r="158" spans="1:5" x14ac:dyDescent="0.25">
      <c r="A158" s="118"/>
      <c r="B158" s="120"/>
      <c r="C158" s="119"/>
      <c r="D158" s="122"/>
      <c r="E158" s="121"/>
    </row>
    <row r="159" spans="1:5" x14ac:dyDescent="0.25">
      <c r="A159" s="118"/>
      <c r="B159" s="120"/>
      <c r="C159" s="119"/>
      <c r="D159" s="122"/>
      <c r="E159" s="121"/>
    </row>
    <row r="160" spans="1:5" x14ac:dyDescent="0.25">
      <c r="A160" s="118"/>
      <c r="B160" s="120"/>
      <c r="C160" s="119"/>
      <c r="D160" s="122"/>
      <c r="E160" s="121"/>
    </row>
    <row r="161" spans="1:5" x14ac:dyDescent="0.25">
      <c r="A161" s="118"/>
      <c r="B161" s="120"/>
      <c r="C161" s="119"/>
      <c r="D161" s="122"/>
      <c r="E161" s="121"/>
    </row>
    <row r="162" spans="1:5" x14ac:dyDescent="0.25">
      <c r="A162" s="118"/>
      <c r="B162" s="120"/>
      <c r="C162" s="119"/>
      <c r="D162" s="122"/>
      <c r="E162" s="121"/>
    </row>
    <row r="163" spans="1:5" x14ac:dyDescent="0.25">
      <c r="A163" s="118"/>
      <c r="B163" s="120"/>
      <c r="C163" s="119"/>
      <c r="D163" s="122"/>
      <c r="E163" s="121"/>
    </row>
    <row r="164" spans="1:5" x14ac:dyDescent="0.25">
      <c r="A164" s="118"/>
      <c r="B164" s="120"/>
      <c r="C164" s="119"/>
      <c r="D164" s="122"/>
      <c r="E164" s="121"/>
    </row>
    <row r="165" spans="1:5" x14ac:dyDescent="0.25">
      <c r="A165" s="118"/>
      <c r="B165" s="120"/>
      <c r="C165" s="119"/>
      <c r="D165" s="122"/>
      <c r="E165" s="121"/>
    </row>
    <row r="166" spans="1:5" x14ac:dyDescent="0.25">
      <c r="A166" s="118"/>
      <c r="B166" s="120"/>
      <c r="C166" s="119"/>
      <c r="D166" s="122"/>
      <c r="E166" s="121"/>
    </row>
    <row r="167" spans="1:5" x14ac:dyDescent="0.25">
      <c r="A167" s="118"/>
      <c r="B167" s="120"/>
      <c r="C167" s="119"/>
      <c r="D167" s="122"/>
      <c r="E167" s="121"/>
    </row>
    <row r="168" spans="1:5" x14ac:dyDescent="0.25">
      <c r="A168" s="118"/>
      <c r="B168" s="120"/>
      <c r="C168" s="119"/>
      <c r="D168" s="122"/>
      <c r="E168" s="121"/>
    </row>
    <row r="169" spans="1:5" x14ac:dyDescent="0.25">
      <c r="A169" s="118"/>
      <c r="B169" s="120"/>
      <c r="C169" s="119"/>
      <c r="D169" s="122"/>
      <c r="E169" s="121"/>
    </row>
    <row r="170" spans="1:5" x14ac:dyDescent="0.25">
      <c r="A170" s="118"/>
      <c r="B170" s="120"/>
      <c r="C170" s="119"/>
      <c r="D170" s="122"/>
      <c r="E170" s="121"/>
    </row>
    <row r="171" spans="1:5" x14ac:dyDescent="0.25">
      <c r="A171" s="118"/>
      <c r="B171" s="120"/>
      <c r="C171" s="119"/>
      <c r="D171" s="122"/>
      <c r="E171" s="121"/>
    </row>
    <row r="172" spans="1:5" x14ac:dyDescent="0.25">
      <c r="A172" s="118"/>
      <c r="B172" s="120"/>
      <c r="C172" s="119"/>
      <c r="D172" s="122"/>
      <c r="E172" s="121"/>
    </row>
    <row r="173" spans="1:5" x14ac:dyDescent="0.25">
      <c r="A173" s="118"/>
      <c r="B173" s="120"/>
      <c r="C173" s="119"/>
      <c r="D173" s="122"/>
      <c r="E173" s="121"/>
    </row>
    <row r="174" spans="1:5" x14ac:dyDescent="0.25">
      <c r="A174" s="118"/>
      <c r="B174" s="120"/>
      <c r="C174" s="119"/>
      <c r="D174" s="122"/>
      <c r="E174" s="121"/>
    </row>
    <row r="175" spans="1:5" x14ac:dyDescent="0.25">
      <c r="A175" s="118"/>
      <c r="B175" s="120"/>
      <c r="C175" s="119"/>
      <c r="D175" s="122"/>
      <c r="E175" s="121"/>
    </row>
    <row r="176" spans="1:5" x14ac:dyDescent="0.25">
      <c r="A176" s="118"/>
      <c r="B176" s="120"/>
      <c r="C176" s="119"/>
      <c r="D176" s="122"/>
      <c r="E176" s="121"/>
    </row>
    <row r="177" spans="1:5" x14ac:dyDescent="0.25">
      <c r="A177" s="118"/>
      <c r="B177" s="120"/>
      <c r="C177" s="119"/>
      <c r="D177" s="122"/>
      <c r="E177" s="121"/>
    </row>
    <row r="178" spans="1:5" x14ac:dyDescent="0.25">
      <c r="A178" s="118"/>
      <c r="B178" s="120"/>
      <c r="C178" s="119"/>
      <c r="D178" s="122"/>
      <c r="E178" s="121"/>
    </row>
    <row r="179" spans="1:5" x14ac:dyDescent="0.25">
      <c r="A179" s="118"/>
      <c r="B179" s="120"/>
      <c r="C179" s="119"/>
      <c r="D179" s="122"/>
      <c r="E179" s="121"/>
    </row>
    <row r="180" spans="1:5" x14ac:dyDescent="0.25">
      <c r="A180" s="118"/>
      <c r="B180" s="120"/>
      <c r="C180" s="119"/>
      <c r="D180" s="122"/>
      <c r="E180" s="121"/>
    </row>
    <row r="181" spans="1:5" x14ac:dyDescent="0.25">
      <c r="A181" s="118"/>
      <c r="B181" s="120"/>
      <c r="C181" s="119"/>
      <c r="D181" s="122"/>
      <c r="E181" s="121"/>
    </row>
    <row r="182" spans="1:5" x14ac:dyDescent="0.25">
      <c r="A182" s="118"/>
      <c r="B182" s="120"/>
      <c r="C182" s="119"/>
      <c r="D182" s="122"/>
      <c r="E182" s="121"/>
    </row>
    <row r="183" spans="1:5" x14ac:dyDescent="0.25">
      <c r="A183" s="118"/>
      <c r="B183" s="120"/>
      <c r="C183" s="119"/>
      <c r="D183" s="122"/>
      <c r="E183" s="121"/>
    </row>
    <row r="184" spans="1:5" x14ac:dyDescent="0.25">
      <c r="A184" s="118"/>
      <c r="B184" s="120"/>
      <c r="C184" s="119"/>
      <c r="D184" s="122"/>
      <c r="E184" s="121"/>
    </row>
    <row r="185" spans="1:5" x14ac:dyDescent="0.25">
      <c r="A185" s="118"/>
      <c r="B185" s="120"/>
      <c r="C185" s="119"/>
      <c r="D185" s="122"/>
      <c r="E185" s="121"/>
    </row>
    <row r="186" spans="1:5" x14ac:dyDescent="0.25">
      <c r="A186" s="118"/>
      <c r="B186" s="120"/>
      <c r="C186" s="119"/>
      <c r="D186" s="122"/>
      <c r="E186" s="121"/>
    </row>
    <row r="187" spans="1:5" x14ac:dyDescent="0.25">
      <c r="A187" s="118"/>
      <c r="B187" s="120"/>
      <c r="C187" s="119"/>
      <c r="D187" s="122"/>
      <c r="E187" s="121"/>
    </row>
    <row r="188" spans="1:5" x14ac:dyDescent="0.25">
      <c r="A188" s="118"/>
      <c r="B188" s="120"/>
      <c r="C188" s="119"/>
      <c r="D188" s="122"/>
      <c r="E188" s="121"/>
    </row>
    <row r="189" spans="1:5" x14ac:dyDescent="0.25">
      <c r="A189" s="118"/>
      <c r="B189" s="120"/>
      <c r="C189" s="119"/>
      <c r="D189" s="122"/>
      <c r="E189" s="121"/>
    </row>
    <row r="190" spans="1:5" x14ac:dyDescent="0.25">
      <c r="A190" s="118"/>
      <c r="B190" s="120"/>
      <c r="C190" s="119"/>
      <c r="D190" s="122"/>
      <c r="E190" s="121"/>
    </row>
    <row r="191" spans="1:5" x14ac:dyDescent="0.25">
      <c r="A191" s="118"/>
      <c r="B191" s="120"/>
      <c r="C191" s="119"/>
      <c r="D191" s="122"/>
      <c r="E191" s="121"/>
    </row>
    <row r="192" spans="1:5" x14ac:dyDescent="0.25">
      <c r="A192" s="118"/>
      <c r="B192" s="120"/>
      <c r="C192" s="119"/>
      <c r="D192" s="122"/>
      <c r="E192" s="121"/>
    </row>
    <row r="193" spans="1:5" x14ac:dyDescent="0.25">
      <c r="A193" s="118"/>
      <c r="B193" s="120"/>
      <c r="C193" s="119"/>
      <c r="D193" s="122"/>
      <c r="E193" s="121"/>
    </row>
    <row r="194" spans="1:5" x14ac:dyDescent="0.25">
      <c r="A194" s="118"/>
      <c r="B194" s="120"/>
      <c r="C194" s="119"/>
      <c r="D194" s="122"/>
      <c r="E194" s="121"/>
    </row>
    <row r="195" spans="1:5" x14ac:dyDescent="0.25">
      <c r="A195" s="118"/>
      <c r="B195" s="120"/>
      <c r="C195" s="119"/>
      <c r="D195" s="122"/>
      <c r="E195" s="121"/>
    </row>
    <row r="196" spans="1:5" x14ac:dyDescent="0.25">
      <c r="A196" s="118"/>
      <c r="B196" s="120"/>
      <c r="C196" s="119"/>
      <c r="D196" s="122"/>
      <c r="E196" s="121"/>
    </row>
    <row r="197" spans="1:5" x14ac:dyDescent="0.25">
      <c r="A197" s="118"/>
      <c r="B197" s="120"/>
      <c r="C197" s="119"/>
      <c r="D197" s="122"/>
      <c r="E197" s="121"/>
    </row>
    <row r="198" spans="1:5" x14ac:dyDescent="0.25">
      <c r="A198" s="118"/>
      <c r="B198" s="120"/>
      <c r="C198" s="119"/>
      <c r="D198" s="122"/>
      <c r="E198" s="121"/>
    </row>
    <row r="199" spans="1:5" x14ac:dyDescent="0.25">
      <c r="A199" s="118"/>
      <c r="B199" s="120"/>
      <c r="C199" s="119"/>
      <c r="D199" s="122"/>
      <c r="E199" s="121"/>
    </row>
    <row r="200" spans="1:5" x14ac:dyDescent="0.25">
      <c r="A200" s="118"/>
      <c r="B200" s="120"/>
      <c r="C200" s="119"/>
      <c r="D200" s="122"/>
      <c r="E200" s="121"/>
    </row>
    <row r="201" spans="1:5" x14ac:dyDescent="0.25">
      <c r="A201" s="118"/>
      <c r="B201" s="120"/>
      <c r="C201" s="119"/>
      <c r="D201" s="122"/>
      <c r="E201" s="121"/>
    </row>
    <row r="202" spans="1:5" x14ac:dyDescent="0.25">
      <c r="A202" s="118"/>
      <c r="B202" s="120"/>
      <c r="C202" s="119"/>
      <c r="D202" s="122"/>
      <c r="E202" s="121"/>
    </row>
    <row r="203" spans="1:5" x14ac:dyDescent="0.25">
      <c r="A203" s="118"/>
      <c r="B203" s="120"/>
      <c r="C203" s="119"/>
      <c r="D203" s="122"/>
      <c r="E203" s="121"/>
    </row>
    <row r="204" spans="1:5" x14ac:dyDescent="0.25">
      <c r="A204" s="118"/>
      <c r="B204" s="120"/>
      <c r="C204" s="119"/>
      <c r="D204" s="122"/>
      <c r="E204" s="121"/>
    </row>
    <row r="205" spans="1:5" x14ac:dyDescent="0.25">
      <c r="A205" s="118"/>
      <c r="B205" s="120"/>
      <c r="C205" s="119"/>
      <c r="D205" s="122"/>
      <c r="E205" s="121"/>
    </row>
    <row r="206" spans="1:5" x14ac:dyDescent="0.25">
      <c r="A206" s="118"/>
      <c r="B206" s="120"/>
      <c r="C206" s="119"/>
      <c r="D206" s="122"/>
      <c r="E206" s="121"/>
    </row>
    <row r="207" spans="1:5" x14ac:dyDescent="0.25">
      <c r="A207" s="118"/>
      <c r="B207" s="120"/>
      <c r="C207" s="119"/>
      <c r="D207" s="122"/>
      <c r="E207" s="121"/>
    </row>
    <row r="208" spans="1:5" x14ac:dyDescent="0.25">
      <c r="A208" s="118"/>
      <c r="B208" s="120"/>
      <c r="C208" s="119"/>
      <c r="D208" s="122"/>
      <c r="E208" s="121"/>
    </row>
    <row r="209" spans="1:5" x14ac:dyDescent="0.25">
      <c r="A209" s="118"/>
      <c r="B209" s="120"/>
      <c r="C209" s="119"/>
      <c r="D209" s="122"/>
      <c r="E209" s="121"/>
    </row>
    <row r="210" spans="1:5" x14ac:dyDescent="0.25">
      <c r="A210" s="118"/>
      <c r="B210" s="120"/>
      <c r="C210" s="119"/>
      <c r="D210" s="122"/>
      <c r="E210" s="121"/>
    </row>
    <row r="211" spans="1:5" x14ac:dyDescent="0.25">
      <c r="A211" s="118"/>
      <c r="B211" s="120"/>
      <c r="C211" s="119"/>
      <c r="D211" s="122"/>
      <c r="E211" s="121"/>
    </row>
    <row r="212" spans="1:5" x14ac:dyDescent="0.25">
      <c r="A212" s="118"/>
      <c r="B212" s="120"/>
      <c r="C212" s="119"/>
      <c r="D212" s="122"/>
      <c r="E212" s="121"/>
    </row>
    <row r="213" spans="1:5" x14ac:dyDescent="0.25">
      <c r="A213" s="118"/>
      <c r="B213" s="120"/>
      <c r="C213" s="119"/>
      <c r="D213" s="122"/>
      <c r="E213" s="121"/>
    </row>
    <row r="214" spans="1:5" x14ac:dyDescent="0.25">
      <c r="A214" s="118"/>
      <c r="B214" s="120"/>
      <c r="C214" s="119"/>
      <c r="D214" s="122"/>
      <c r="E214" s="121"/>
    </row>
    <row r="215" spans="1:5" x14ac:dyDescent="0.25">
      <c r="A215" s="118"/>
      <c r="B215" s="120"/>
      <c r="C215" s="119"/>
      <c r="D215" s="122"/>
      <c r="E215" s="121"/>
    </row>
    <row r="216" spans="1:5" x14ac:dyDescent="0.25">
      <c r="A216" s="118"/>
      <c r="B216" s="120"/>
      <c r="C216" s="119"/>
      <c r="D216" s="122"/>
      <c r="E216" s="121"/>
    </row>
    <row r="217" spans="1:5" x14ac:dyDescent="0.25">
      <c r="A217" s="118"/>
      <c r="B217" s="120"/>
      <c r="C217" s="119"/>
      <c r="D217" s="122"/>
      <c r="E217" s="121"/>
    </row>
    <row r="218" spans="1:5" x14ac:dyDescent="0.25">
      <c r="A218" s="118"/>
      <c r="B218" s="120"/>
      <c r="C218" s="119"/>
      <c r="D218" s="122"/>
      <c r="E218" s="121"/>
    </row>
    <row r="219" spans="1:5" x14ac:dyDescent="0.25">
      <c r="A219" s="118"/>
      <c r="B219" s="120"/>
      <c r="C219" s="119"/>
      <c r="D219" s="122"/>
      <c r="E219" s="121"/>
    </row>
    <row r="220" spans="1:5" x14ac:dyDescent="0.25">
      <c r="A220" s="118"/>
      <c r="B220" s="120"/>
      <c r="C220" s="119"/>
      <c r="D220" s="122"/>
      <c r="E220" s="121"/>
    </row>
    <row r="221" spans="1:5" x14ac:dyDescent="0.25">
      <c r="A221" s="118"/>
      <c r="B221" s="120"/>
      <c r="C221" s="119"/>
      <c r="D221" s="122"/>
      <c r="E221" s="121"/>
    </row>
    <row r="222" spans="1:5" x14ac:dyDescent="0.25">
      <c r="A222" s="118"/>
      <c r="B222" s="120"/>
      <c r="C222" s="119"/>
      <c r="D222" s="122"/>
      <c r="E222" s="121"/>
    </row>
    <row r="223" spans="1:5" x14ac:dyDescent="0.25">
      <c r="A223" s="118"/>
      <c r="B223" s="120"/>
      <c r="C223" s="119"/>
      <c r="D223" s="122"/>
      <c r="E223" s="121"/>
    </row>
    <row r="224" spans="1:5" x14ac:dyDescent="0.25">
      <c r="A224" s="118"/>
      <c r="B224" s="120"/>
      <c r="C224" s="119"/>
      <c r="D224" s="122"/>
      <c r="E224" s="121"/>
    </row>
    <row r="225" spans="1:5" x14ac:dyDescent="0.25">
      <c r="A225" s="118"/>
      <c r="B225" s="120"/>
      <c r="C225" s="119"/>
      <c r="D225" s="122"/>
      <c r="E225" s="121"/>
    </row>
    <row r="226" spans="1:5" x14ac:dyDescent="0.25">
      <c r="A226" s="118"/>
      <c r="B226" s="120"/>
      <c r="C226" s="119"/>
      <c r="D226" s="122"/>
      <c r="E226" s="121"/>
    </row>
    <row r="227" spans="1:5" x14ac:dyDescent="0.25">
      <c r="A227" s="118"/>
      <c r="B227" s="120"/>
      <c r="C227" s="119"/>
      <c r="D227" s="122"/>
      <c r="E227" s="121"/>
    </row>
    <row r="228" spans="1:5" x14ac:dyDescent="0.25">
      <c r="A228" s="118"/>
      <c r="B228" s="120"/>
      <c r="C228" s="119"/>
      <c r="D228" s="122"/>
      <c r="E228" s="121"/>
    </row>
    <row r="229" spans="1:5" x14ac:dyDescent="0.25">
      <c r="A229" s="118"/>
      <c r="B229" s="120"/>
      <c r="C229" s="119"/>
      <c r="D229" s="122"/>
      <c r="E229" s="121"/>
    </row>
    <row r="230" spans="1:5" x14ac:dyDescent="0.25">
      <c r="A230" s="118"/>
      <c r="B230" s="120"/>
      <c r="C230" s="119"/>
      <c r="D230" s="122"/>
      <c r="E230" s="121"/>
    </row>
    <row r="231" spans="1:5" x14ac:dyDescent="0.25">
      <c r="A231" s="118"/>
      <c r="B231" s="120"/>
      <c r="C231" s="119"/>
      <c r="D231" s="122"/>
      <c r="E231" s="121"/>
    </row>
    <row r="232" spans="1:5" x14ac:dyDescent="0.25">
      <c r="A232" s="118"/>
      <c r="B232" s="120"/>
      <c r="C232" s="119"/>
      <c r="D232" s="122"/>
      <c r="E232" s="121"/>
    </row>
    <row r="233" spans="1:5" x14ac:dyDescent="0.25">
      <c r="A233" s="118"/>
      <c r="B233" s="120"/>
      <c r="C233" s="119"/>
      <c r="D233" s="122"/>
      <c r="E233" s="121"/>
    </row>
    <row r="234" spans="1:5" x14ac:dyDescent="0.25">
      <c r="A234" s="118"/>
      <c r="B234" s="120"/>
      <c r="C234" s="119"/>
      <c r="D234" s="122"/>
      <c r="E234" s="121"/>
    </row>
    <row r="235" spans="1:5" x14ac:dyDescent="0.25">
      <c r="A235" s="118"/>
      <c r="B235" s="120"/>
      <c r="C235" s="119"/>
      <c r="D235" s="122"/>
      <c r="E235" s="121"/>
    </row>
    <row r="236" spans="1:5" x14ac:dyDescent="0.25">
      <c r="A236" s="118"/>
      <c r="B236" s="120"/>
      <c r="C236" s="119"/>
      <c r="D236" s="122"/>
      <c r="E236" s="121"/>
    </row>
    <row r="237" spans="1:5" x14ac:dyDescent="0.25">
      <c r="A237" s="118"/>
      <c r="B237" s="120"/>
      <c r="C237" s="119"/>
      <c r="D237" s="122"/>
      <c r="E237" s="121"/>
    </row>
    <row r="238" spans="1:5" x14ac:dyDescent="0.25">
      <c r="A238" s="118"/>
      <c r="B238" s="120"/>
      <c r="C238" s="119"/>
      <c r="D238" s="122"/>
      <c r="E238" s="121"/>
    </row>
    <row r="239" spans="1:5" x14ac:dyDescent="0.25">
      <c r="A239" s="118"/>
      <c r="B239" s="120"/>
      <c r="C239" s="119"/>
      <c r="D239" s="122"/>
      <c r="E239" s="121"/>
    </row>
    <row r="240" spans="1:5" x14ac:dyDescent="0.25">
      <c r="A240" s="118"/>
      <c r="B240" s="120"/>
      <c r="C240" s="119"/>
      <c r="D240" s="122"/>
      <c r="E240" s="121"/>
    </row>
    <row r="241" spans="1:5" x14ac:dyDescent="0.25">
      <c r="A241" s="118"/>
      <c r="B241" s="120"/>
      <c r="C241" s="119"/>
      <c r="D241" s="122"/>
      <c r="E241" s="121"/>
    </row>
    <row r="242" spans="1:5" x14ac:dyDescent="0.25">
      <c r="A242" s="118"/>
      <c r="B242" s="120"/>
      <c r="C242" s="119"/>
      <c r="D242" s="122"/>
      <c r="E242" s="121"/>
    </row>
    <row r="243" spans="1:5" x14ac:dyDescent="0.25">
      <c r="A243" s="118"/>
      <c r="B243" s="120"/>
      <c r="C243" s="119"/>
      <c r="D243" s="122"/>
      <c r="E243" s="121"/>
    </row>
    <row r="244" spans="1:5" x14ac:dyDescent="0.25">
      <c r="A244" s="118"/>
      <c r="B244" s="120"/>
      <c r="C244" s="119"/>
      <c r="D244" s="122"/>
      <c r="E244" s="121"/>
    </row>
    <row r="245" spans="1:5" x14ac:dyDescent="0.25">
      <c r="A245" s="118"/>
      <c r="B245" s="120"/>
      <c r="C245" s="119"/>
      <c r="D245" s="122"/>
      <c r="E245" s="121"/>
    </row>
    <row r="246" spans="1:5" x14ac:dyDescent="0.25">
      <c r="A246" s="118"/>
      <c r="B246" s="120"/>
      <c r="C246" s="119"/>
      <c r="D246" s="122"/>
      <c r="E246" s="121"/>
    </row>
    <row r="247" spans="1:5" x14ac:dyDescent="0.25">
      <c r="A247" s="118"/>
      <c r="B247" s="120"/>
      <c r="C247" s="119"/>
      <c r="D247" s="122"/>
      <c r="E247" s="121"/>
    </row>
    <row r="248" spans="1:5" x14ac:dyDescent="0.25">
      <c r="A248" s="118"/>
      <c r="B248" s="120"/>
      <c r="C248" s="119"/>
      <c r="D248" s="122"/>
      <c r="E248" s="121"/>
    </row>
    <row r="249" spans="1:5" x14ac:dyDescent="0.25">
      <c r="A249" s="118"/>
      <c r="B249" s="120"/>
      <c r="C249" s="119"/>
      <c r="D249" s="122"/>
      <c r="E249" s="121"/>
    </row>
    <row r="250" spans="1:5" x14ac:dyDescent="0.25">
      <c r="A250" s="118"/>
      <c r="B250" s="120"/>
      <c r="C250" s="119"/>
      <c r="D250" s="122"/>
      <c r="E250" s="121"/>
    </row>
    <row r="251" spans="1:5" x14ac:dyDescent="0.25">
      <c r="A251" s="118"/>
      <c r="B251" s="120"/>
      <c r="C251" s="119"/>
      <c r="D251" s="122"/>
      <c r="E251" s="121"/>
    </row>
    <row r="252" spans="1:5" x14ac:dyDescent="0.25">
      <c r="A252" s="118"/>
      <c r="B252" s="120"/>
      <c r="C252" s="119"/>
      <c r="D252" s="122"/>
      <c r="E252" s="121"/>
    </row>
    <row r="253" spans="1:5" x14ac:dyDescent="0.25">
      <c r="A253" s="118"/>
      <c r="B253" s="120"/>
      <c r="C253" s="119"/>
      <c r="D253" s="122"/>
      <c r="E253" s="121"/>
    </row>
    <row r="254" spans="1:5" x14ac:dyDescent="0.25">
      <c r="A254" s="118"/>
      <c r="B254" s="120"/>
      <c r="C254" s="119"/>
      <c r="D254" s="122"/>
      <c r="E254" s="121"/>
    </row>
    <row r="255" spans="1:5" x14ac:dyDescent="0.25">
      <c r="A255" s="118"/>
      <c r="B255" s="120"/>
      <c r="C255" s="119"/>
      <c r="D255" s="122"/>
      <c r="E255" s="121"/>
    </row>
    <row r="256" spans="1:5" x14ac:dyDescent="0.25">
      <c r="A256" s="118"/>
      <c r="B256" s="120"/>
      <c r="C256" s="119"/>
      <c r="D256" s="122"/>
      <c r="E256" s="121"/>
    </row>
    <row r="257" spans="1:5" x14ac:dyDescent="0.25">
      <c r="A257" s="118"/>
      <c r="B257" s="120"/>
      <c r="C257" s="119"/>
      <c r="D257" s="122"/>
      <c r="E257" s="121"/>
    </row>
    <row r="258" spans="1:5" x14ac:dyDescent="0.25">
      <c r="A258" s="118"/>
      <c r="B258" s="120"/>
      <c r="C258" s="119"/>
      <c r="D258" s="122"/>
      <c r="E258" s="121"/>
    </row>
    <row r="259" spans="1:5" x14ac:dyDescent="0.25">
      <c r="A259" s="118"/>
      <c r="B259" s="120"/>
      <c r="C259" s="119"/>
      <c r="D259" s="122"/>
      <c r="E259" s="121"/>
    </row>
    <row r="260" spans="1:5" x14ac:dyDescent="0.25">
      <c r="A260" s="118"/>
      <c r="B260" s="120"/>
      <c r="C260" s="119"/>
      <c r="D260" s="122"/>
      <c r="E260" s="121"/>
    </row>
    <row r="261" spans="1:5" x14ac:dyDescent="0.25">
      <c r="A261" s="118"/>
      <c r="B261" s="120"/>
      <c r="C261" s="119"/>
      <c r="D261" s="122"/>
      <c r="E261" s="121"/>
    </row>
    <row r="262" spans="1:5" x14ac:dyDescent="0.25">
      <c r="A262" s="118"/>
      <c r="B262" s="120"/>
      <c r="C262" s="119"/>
      <c r="D262" s="122"/>
      <c r="E262" s="121"/>
    </row>
    <row r="263" spans="1:5" x14ac:dyDescent="0.25">
      <c r="A263" s="118"/>
      <c r="B263" s="120"/>
      <c r="C263" s="119"/>
      <c r="D263" s="122"/>
      <c r="E263" s="121"/>
    </row>
    <row r="264" spans="1:5" x14ac:dyDescent="0.25">
      <c r="A264" s="118"/>
      <c r="B264" s="120"/>
      <c r="C264" s="119"/>
      <c r="D264" s="122"/>
      <c r="E264" s="121"/>
    </row>
    <row r="265" spans="1:5" x14ac:dyDescent="0.25">
      <c r="A265" s="118"/>
      <c r="B265" s="120"/>
      <c r="C265" s="119"/>
      <c r="D265" s="122"/>
      <c r="E265" s="121"/>
    </row>
    <row r="266" spans="1:5" x14ac:dyDescent="0.25">
      <c r="A266" s="118"/>
      <c r="B266" s="120"/>
      <c r="C266" s="119"/>
      <c r="D266" s="122"/>
      <c r="E266" s="121"/>
    </row>
    <row r="267" spans="1:5" x14ac:dyDescent="0.25">
      <c r="A267" s="118"/>
      <c r="B267" s="120"/>
      <c r="C267" s="119"/>
      <c r="D267" s="122"/>
      <c r="E267" s="121"/>
    </row>
    <row r="268" spans="1:5" x14ac:dyDescent="0.25">
      <c r="A268" s="118"/>
      <c r="B268" s="120"/>
      <c r="C268" s="119"/>
      <c r="D268" s="122"/>
      <c r="E268" s="121"/>
    </row>
    <row r="269" spans="1:5" x14ac:dyDescent="0.25">
      <c r="A269" s="118"/>
      <c r="B269" s="120"/>
      <c r="C269" s="119"/>
      <c r="D269" s="122"/>
      <c r="E269" s="121"/>
    </row>
    <row r="270" spans="1:5" x14ac:dyDescent="0.25">
      <c r="A270" s="118"/>
      <c r="B270" s="120"/>
      <c r="C270" s="119"/>
      <c r="D270" s="122"/>
      <c r="E270" s="121"/>
    </row>
    <row r="271" spans="1:5" x14ac:dyDescent="0.25">
      <c r="A271" s="118"/>
      <c r="B271" s="120"/>
      <c r="C271" s="119"/>
      <c r="D271" s="122"/>
      <c r="E271" s="121"/>
    </row>
    <row r="272" spans="1:5" x14ac:dyDescent="0.25">
      <c r="A272" s="118"/>
      <c r="B272" s="120"/>
      <c r="C272" s="119"/>
      <c r="D272" s="122"/>
      <c r="E272" s="121"/>
    </row>
    <row r="273" spans="1:5" x14ac:dyDescent="0.25">
      <c r="A273" s="118"/>
      <c r="B273" s="120"/>
      <c r="C273" s="119"/>
      <c r="D273" s="122"/>
      <c r="E273" s="121"/>
    </row>
    <row r="274" spans="1:5" x14ac:dyDescent="0.25">
      <c r="A274" s="118"/>
      <c r="B274" s="120"/>
      <c r="C274" s="119"/>
      <c r="D274" s="122"/>
      <c r="E274" s="121"/>
    </row>
    <row r="275" spans="1:5" x14ac:dyDescent="0.25">
      <c r="A275" s="118"/>
      <c r="B275" s="120"/>
      <c r="C275" s="119"/>
      <c r="D275" s="122"/>
      <c r="E275" s="121"/>
    </row>
    <row r="276" spans="1:5" x14ac:dyDescent="0.25">
      <c r="A276" s="118"/>
      <c r="B276" s="120"/>
      <c r="C276" s="119"/>
      <c r="D276" s="122"/>
      <c r="E276" s="121"/>
    </row>
    <row r="277" spans="1:5" x14ac:dyDescent="0.25">
      <c r="A277" s="118"/>
      <c r="B277" s="120"/>
      <c r="C277" s="119"/>
      <c r="D277" s="122"/>
      <c r="E277" s="121"/>
    </row>
    <row r="278" spans="1:5" x14ac:dyDescent="0.25">
      <c r="A278" s="118"/>
      <c r="B278" s="120"/>
      <c r="C278" s="119"/>
      <c r="D278" s="122"/>
      <c r="E278" s="121"/>
    </row>
    <row r="279" spans="1:5" x14ac:dyDescent="0.25">
      <c r="A279" s="118"/>
      <c r="B279" s="120"/>
      <c r="C279" s="119"/>
      <c r="D279" s="122"/>
      <c r="E279" s="121"/>
    </row>
    <row r="280" spans="1:5" x14ac:dyDescent="0.25">
      <c r="A280" s="118"/>
      <c r="B280" s="120"/>
      <c r="C280" s="119"/>
      <c r="D280" s="122"/>
      <c r="E280" s="121"/>
    </row>
    <row r="281" spans="1:5" x14ac:dyDescent="0.25">
      <c r="A281" s="118"/>
      <c r="B281" s="120"/>
      <c r="C281" s="119"/>
      <c r="D281" s="122"/>
      <c r="E281" s="121"/>
    </row>
    <row r="282" spans="1:5" x14ac:dyDescent="0.25">
      <c r="A282" s="118"/>
      <c r="B282" s="120"/>
      <c r="C282" s="119"/>
      <c r="D282" s="122"/>
      <c r="E282" s="121"/>
    </row>
    <row r="283" spans="1:5" x14ac:dyDescent="0.25">
      <c r="A283" s="118"/>
      <c r="B283" s="120"/>
      <c r="C283" s="119"/>
      <c r="D283" s="122"/>
      <c r="E283" s="121"/>
    </row>
    <row r="284" spans="1:5" x14ac:dyDescent="0.25">
      <c r="A284" s="118"/>
      <c r="B284" s="120"/>
      <c r="C284" s="119"/>
      <c r="D284" s="122"/>
      <c r="E284" s="121"/>
    </row>
    <row r="285" spans="1:5" x14ac:dyDescent="0.25">
      <c r="A285" s="118"/>
      <c r="B285" s="120"/>
      <c r="C285" s="119"/>
      <c r="D285" s="122"/>
      <c r="E285" s="121"/>
    </row>
    <row r="286" spans="1:5" x14ac:dyDescent="0.25">
      <c r="A286" s="118"/>
      <c r="B286" s="120"/>
      <c r="C286" s="119"/>
      <c r="D286" s="122"/>
      <c r="E286" s="121"/>
    </row>
    <row r="287" spans="1:5" x14ac:dyDescent="0.25">
      <c r="A287" s="118"/>
      <c r="B287" s="120"/>
      <c r="C287" s="119"/>
      <c r="D287" s="122"/>
      <c r="E287" s="121"/>
    </row>
    <row r="288" spans="1:5" x14ac:dyDescent="0.25">
      <c r="A288" s="118"/>
      <c r="B288" s="120"/>
      <c r="C288" s="119"/>
      <c r="D288" s="122"/>
      <c r="E288" s="121"/>
    </row>
    <row r="289" spans="1:5" x14ac:dyDescent="0.25">
      <c r="A289" s="118"/>
      <c r="B289" s="120"/>
      <c r="C289" s="119"/>
      <c r="D289" s="122"/>
      <c r="E289" s="121"/>
    </row>
    <row r="290" spans="1:5" x14ac:dyDescent="0.25">
      <c r="A290" s="118"/>
      <c r="B290" s="120"/>
      <c r="C290" s="119"/>
      <c r="D290" s="122"/>
      <c r="E290" s="121"/>
    </row>
    <row r="291" spans="1:5" x14ac:dyDescent="0.25">
      <c r="A291" s="118"/>
      <c r="B291" s="120"/>
      <c r="C291" s="119"/>
      <c r="D291" s="122"/>
      <c r="E291" s="121"/>
    </row>
    <row r="292" spans="1:5" x14ac:dyDescent="0.25">
      <c r="A292" s="118"/>
      <c r="B292" s="120"/>
      <c r="C292" s="119"/>
      <c r="D292" s="122"/>
      <c r="E292" s="121"/>
    </row>
    <row r="293" spans="1:5" x14ac:dyDescent="0.25">
      <c r="A293" s="118"/>
      <c r="B293" s="120"/>
      <c r="C293" s="119"/>
      <c r="D293" s="122"/>
      <c r="E293" s="121"/>
    </row>
    <row r="294" spans="1:5" x14ac:dyDescent="0.25">
      <c r="A294" s="118"/>
      <c r="B294" s="120"/>
      <c r="C294" s="119"/>
      <c r="D294" s="122"/>
      <c r="E294" s="121"/>
    </row>
    <row r="295" spans="1:5" x14ac:dyDescent="0.25">
      <c r="A295" s="118"/>
      <c r="B295" s="120"/>
      <c r="C295" s="119"/>
      <c r="D295" s="122"/>
      <c r="E295" s="121"/>
    </row>
    <row r="296" spans="1:5" x14ac:dyDescent="0.25">
      <c r="A296" s="118"/>
      <c r="B296" s="120"/>
      <c r="C296" s="119"/>
      <c r="D296" s="122"/>
      <c r="E296" s="121"/>
    </row>
    <row r="297" spans="1:5" x14ac:dyDescent="0.25">
      <c r="A297" s="118"/>
      <c r="B297" s="120"/>
      <c r="C297" s="119"/>
      <c r="D297" s="122"/>
      <c r="E297" s="121"/>
    </row>
    <row r="298" spans="1:5" x14ac:dyDescent="0.25">
      <c r="A298" s="118"/>
      <c r="B298" s="120"/>
      <c r="C298" s="119"/>
      <c r="D298" s="122"/>
      <c r="E298" s="121"/>
    </row>
    <row r="299" spans="1:5" x14ac:dyDescent="0.25">
      <c r="A299" s="118"/>
      <c r="B299" s="120"/>
      <c r="C299" s="119"/>
      <c r="D299" s="122"/>
      <c r="E299" s="121"/>
    </row>
    <row r="300" spans="1:5" x14ac:dyDescent="0.25">
      <c r="A300" s="118"/>
      <c r="B300" s="120"/>
      <c r="C300" s="119"/>
      <c r="D300" s="122"/>
      <c r="E300" s="121"/>
    </row>
    <row r="301" spans="1:5" x14ac:dyDescent="0.25">
      <c r="A301" s="118"/>
      <c r="B301" s="120"/>
      <c r="C301" s="119"/>
      <c r="D301" s="122"/>
      <c r="E301" s="121"/>
    </row>
    <row r="302" spans="1:5" x14ac:dyDescent="0.25">
      <c r="A302" s="118"/>
      <c r="B302" s="120"/>
      <c r="C302" s="119"/>
      <c r="D302" s="122"/>
      <c r="E302" s="121"/>
    </row>
    <row r="303" spans="1:5" x14ac:dyDescent="0.25">
      <c r="A303" s="118"/>
      <c r="B303" s="120"/>
      <c r="C303" s="119"/>
      <c r="D303" s="122"/>
      <c r="E303" s="121"/>
    </row>
    <row r="304" spans="1:5" x14ac:dyDescent="0.25">
      <c r="A304" s="118"/>
      <c r="B304" s="120"/>
      <c r="C304" s="119"/>
      <c r="D304" s="122"/>
      <c r="E304" s="121"/>
    </row>
    <row r="305" spans="1:5" x14ac:dyDescent="0.25">
      <c r="A305" s="118"/>
      <c r="B305" s="120"/>
      <c r="C305" s="119"/>
      <c r="D305" s="122"/>
      <c r="E305" s="121"/>
    </row>
    <row r="306" spans="1:5" x14ac:dyDescent="0.25">
      <c r="A306" s="118"/>
      <c r="B306" s="120"/>
      <c r="C306" s="119"/>
      <c r="D306" s="122"/>
      <c r="E306" s="121"/>
    </row>
    <row r="307" spans="1:5" x14ac:dyDescent="0.25">
      <c r="A307" s="118"/>
      <c r="B307" s="120"/>
      <c r="C307" s="119"/>
      <c r="D307" s="122"/>
      <c r="E307" s="121"/>
    </row>
    <row r="308" spans="1:5" x14ac:dyDescent="0.25">
      <c r="A308" s="118"/>
      <c r="B308" s="120"/>
      <c r="C308" s="119"/>
      <c r="D308" s="122"/>
      <c r="E308" s="121"/>
    </row>
    <row r="309" spans="1:5" x14ac:dyDescent="0.25">
      <c r="A309" s="118"/>
      <c r="B309" s="120"/>
      <c r="C309" s="119"/>
      <c r="D309" s="122"/>
      <c r="E309" s="121"/>
    </row>
    <row r="310" spans="1:5" x14ac:dyDescent="0.25">
      <c r="A310" s="118"/>
      <c r="B310" s="120"/>
      <c r="C310" s="119"/>
      <c r="D310" s="122"/>
      <c r="E310" s="121"/>
    </row>
    <row r="311" spans="1:5" x14ac:dyDescent="0.25">
      <c r="A311" s="118"/>
      <c r="B311" s="120"/>
      <c r="C311" s="119"/>
      <c r="D311" s="122"/>
      <c r="E311" s="121"/>
    </row>
    <row r="312" spans="1:5" x14ac:dyDescent="0.25">
      <c r="A312" s="118"/>
      <c r="B312" s="120"/>
      <c r="C312" s="119"/>
      <c r="D312" s="122"/>
      <c r="E312" s="121"/>
    </row>
    <row r="313" spans="1:5" x14ac:dyDescent="0.25">
      <c r="A313" s="118"/>
      <c r="B313" s="120"/>
      <c r="C313" s="119"/>
      <c r="D313" s="122"/>
      <c r="E313" s="121"/>
    </row>
    <row r="314" spans="1:5" x14ac:dyDescent="0.25">
      <c r="A314" s="118"/>
      <c r="B314" s="120"/>
      <c r="C314" s="119"/>
      <c r="D314" s="122"/>
      <c r="E314" s="121"/>
    </row>
    <row r="315" spans="1:5" x14ac:dyDescent="0.25">
      <c r="A315" s="118"/>
      <c r="B315" s="120"/>
      <c r="C315" s="119"/>
      <c r="D315" s="122"/>
      <c r="E315" s="121"/>
    </row>
    <row r="316" spans="1:5" x14ac:dyDescent="0.25">
      <c r="A316" s="118"/>
      <c r="B316" s="120"/>
      <c r="C316" s="119"/>
      <c r="D316" s="122"/>
      <c r="E316" s="121"/>
    </row>
    <row r="317" spans="1:5" x14ac:dyDescent="0.25">
      <c r="A317" s="118"/>
      <c r="B317" s="120"/>
      <c r="C317" s="119"/>
      <c r="D317" s="122"/>
      <c r="E317" s="121"/>
    </row>
    <row r="318" spans="1:5" x14ac:dyDescent="0.25">
      <c r="A318" s="118"/>
      <c r="B318" s="120"/>
      <c r="C318" s="119"/>
      <c r="D318" s="122"/>
      <c r="E318" s="121"/>
    </row>
    <row r="319" spans="1:5" x14ac:dyDescent="0.25">
      <c r="A319" s="118"/>
      <c r="B319" s="120"/>
      <c r="C319" s="119"/>
      <c r="D319" s="122"/>
      <c r="E319" s="121"/>
    </row>
    <row r="320" spans="1:5" x14ac:dyDescent="0.25">
      <c r="A320" s="118"/>
      <c r="B320" s="120"/>
      <c r="C320" s="119"/>
      <c r="D320" s="122"/>
      <c r="E320" s="121"/>
    </row>
    <row r="321" spans="1:5" x14ac:dyDescent="0.25">
      <c r="A321" s="118"/>
      <c r="B321" s="120"/>
      <c r="C321" s="119"/>
      <c r="D321" s="122"/>
      <c r="E321" s="121"/>
    </row>
    <row r="322" spans="1:5" x14ac:dyDescent="0.25">
      <c r="A322" s="118"/>
      <c r="B322" s="120"/>
      <c r="C322" s="119"/>
      <c r="D322" s="122"/>
      <c r="E322" s="121"/>
    </row>
    <row r="323" spans="1:5" x14ac:dyDescent="0.25">
      <c r="A323" s="118"/>
      <c r="B323" s="120"/>
      <c r="C323" s="119"/>
      <c r="D323" s="122"/>
      <c r="E323" s="121"/>
    </row>
    <row r="324" spans="1:5" x14ac:dyDescent="0.25">
      <c r="A324" s="118"/>
      <c r="B324" s="120"/>
      <c r="C324" s="119"/>
      <c r="D324" s="122"/>
      <c r="E324" s="121"/>
    </row>
    <row r="325" spans="1:5" x14ac:dyDescent="0.25">
      <c r="A325" s="118"/>
      <c r="B325" s="120"/>
      <c r="C325" s="119"/>
      <c r="D325" s="122"/>
      <c r="E325" s="121"/>
    </row>
    <row r="326" spans="1:5" x14ac:dyDescent="0.25">
      <c r="A326" s="118"/>
      <c r="B326" s="120"/>
      <c r="C326" s="119"/>
      <c r="D326" s="122"/>
      <c r="E326" s="121"/>
    </row>
    <row r="327" spans="1:5" x14ac:dyDescent="0.25">
      <c r="A327" s="118"/>
      <c r="B327" s="120"/>
      <c r="C327" s="119"/>
      <c r="D327" s="122"/>
      <c r="E327" s="121"/>
    </row>
    <row r="328" spans="1:5" x14ac:dyDescent="0.25">
      <c r="A328" s="118"/>
      <c r="B328" s="120"/>
      <c r="C328" s="119"/>
      <c r="D328" s="122"/>
      <c r="E328" s="121"/>
    </row>
    <row r="329" spans="1:5" x14ac:dyDescent="0.25">
      <c r="A329" s="118"/>
      <c r="B329" s="120"/>
      <c r="C329" s="119"/>
      <c r="D329" s="122"/>
      <c r="E329" s="121"/>
    </row>
    <row r="330" spans="1:5" x14ac:dyDescent="0.25">
      <c r="A330" s="118"/>
      <c r="B330" s="120"/>
      <c r="C330" s="119"/>
      <c r="D330" s="122"/>
      <c r="E330" s="121"/>
    </row>
    <row r="331" spans="1:5" x14ac:dyDescent="0.25">
      <c r="A331" s="118"/>
      <c r="B331" s="120"/>
      <c r="C331" s="119"/>
      <c r="D331" s="122"/>
      <c r="E331" s="121"/>
    </row>
    <row r="332" spans="1:5" x14ac:dyDescent="0.25">
      <c r="A332" s="118"/>
      <c r="B332" s="120"/>
      <c r="C332" s="119"/>
      <c r="D332" s="122"/>
      <c r="E332" s="121"/>
    </row>
    <row r="333" spans="1:5" x14ac:dyDescent="0.25">
      <c r="A333" s="118"/>
      <c r="B333" s="120"/>
      <c r="C333" s="119"/>
      <c r="D333" s="122"/>
      <c r="E333" s="121"/>
    </row>
    <row r="334" spans="1:5" x14ac:dyDescent="0.25">
      <c r="A334" s="118"/>
      <c r="B334" s="120"/>
      <c r="C334" s="119"/>
      <c r="D334" s="122"/>
      <c r="E334" s="121"/>
    </row>
    <row r="335" spans="1:5" x14ac:dyDescent="0.25">
      <c r="A335" s="118"/>
      <c r="B335" s="120"/>
      <c r="C335" s="119"/>
      <c r="D335" s="122"/>
      <c r="E335" s="121"/>
    </row>
    <row r="336" spans="1:5" x14ac:dyDescent="0.25">
      <c r="A336" s="118"/>
      <c r="B336" s="120"/>
      <c r="C336" s="119"/>
      <c r="D336" s="122"/>
      <c r="E336" s="121"/>
    </row>
    <row r="337" spans="1:5" x14ac:dyDescent="0.25">
      <c r="A337" s="118"/>
      <c r="B337" s="120"/>
      <c r="C337" s="119"/>
      <c r="D337" s="122"/>
      <c r="E337" s="121"/>
    </row>
    <row r="338" spans="1:5" x14ac:dyDescent="0.25">
      <c r="A338" s="118"/>
      <c r="B338" s="120"/>
      <c r="C338" s="119"/>
      <c r="D338" s="122"/>
      <c r="E338" s="121"/>
    </row>
    <row r="339" spans="1:5" x14ac:dyDescent="0.25">
      <c r="A339" s="118"/>
      <c r="B339" s="120"/>
      <c r="C339" s="119"/>
      <c r="D339" s="122"/>
      <c r="E339" s="121"/>
    </row>
    <row r="340" spans="1:5" x14ac:dyDescent="0.25">
      <c r="A340" s="118"/>
      <c r="B340" s="120"/>
      <c r="C340" s="119"/>
      <c r="D340" s="122"/>
      <c r="E340" s="121"/>
    </row>
    <row r="341" spans="1:5" x14ac:dyDescent="0.25">
      <c r="A341" s="118"/>
      <c r="B341" s="120"/>
      <c r="C341" s="119"/>
      <c r="D341" s="122"/>
      <c r="E341" s="121"/>
    </row>
    <row r="342" spans="1:5" x14ac:dyDescent="0.25">
      <c r="A342" s="118"/>
      <c r="B342" s="120"/>
      <c r="C342" s="119"/>
      <c r="D342" s="122"/>
      <c r="E342" s="121"/>
    </row>
    <row r="343" spans="1:5" x14ac:dyDescent="0.25">
      <c r="A343" s="118"/>
      <c r="B343" s="120"/>
      <c r="C343" s="119"/>
      <c r="D343" s="122"/>
      <c r="E343" s="121"/>
    </row>
    <row r="344" spans="1:5" x14ac:dyDescent="0.25">
      <c r="A344" s="118"/>
      <c r="B344" s="120"/>
      <c r="C344" s="119"/>
      <c r="D344" s="122"/>
      <c r="E344" s="121"/>
    </row>
    <row r="345" spans="1:5" x14ac:dyDescent="0.25">
      <c r="A345" s="118"/>
      <c r="B345" s="120"/>
      <c r="C345" s="119"/>
      <c r="D345" s="122"/>
      <c r="E345" s="121"/>
    </row>
    <row r="346" spans="1:5" x14ac:dyDescent="0.25">
      <c r="A346" s="118"/>
      <c r="B346" s="120"/>
      <c r="C346" s="119"/>
      <c r="D346" s="122"/>
      <c r="E346" s="121"/>
    </row>
    <row r="347" spans="1:5" x14ac:dyDescent="0.25">
      <c r="A347" s="118"/>
      <c r="B347" s="120"/>
      <c r="C347" s="119"/>
      <c r="D347" s="122"/>
      <c r="E347" s="121"/>
    </row>
    <row r="348" spans="1:5" x14ac:dyDescent="0.25">
      <c r="A348" s="118"/>
      <c r="B348" s="120"/>
      <c r="C348" s="119"/>
      <c r="D348" s="122"/>
      <c r="E348" s="121"/>
    </row>
    <row r="349" spans="1:5" x14ac:dyDescent="0.25">
      <c r="A349" s="118"/>
      <c r="B349" s="120"/>
      <c r="C349" s="119"/>
      <c r="D349" s="122"/>
      <c r="E349" s="121"/>
    </row>
    <row r="350" spans="1:5" x14ac:dyDescent="0.25">
      <c r="A350" s="118"/>
      <c r="B350" s="120"/>
      <c r="C350" s="119"/>
      <c r="D350" s="122"/>
      <c r="E350" s="121"/>
    </row>
    <row r="351" spans="1:5" x14ac:dyDescent="0.25">
      <c r="A351" s="118"/>
      <c r="B351" s="120"/>
      <c r="C351" s="119"/>
      <c r="D351" s="122"/>
      <c r="E351" s="121"/>
    </row>
    <row r="352" spans="1:5" x14ac:dyDescent="0.25">
      <c r="A352" s="118"/>
      <c r="B352" s="120"/>
      <c r="C352" s="119"/>
      <c r="D352" s="122"/>
      <c r="E352" s="121"/>
    </row>
    <row r="353" spans="1:5" x14ac:dyDescent="0.25">
      <c r="A353" s="118"/>
      <c r="B353" s="120"/>
      <c r="C353" s="119"/>
      <c r="D353" s="122"/>
      <c r="E353" s="121"/>
    </row>
    <row r="354" spans="1:5" x14ac:dyDescent="0.25">
      <c r="A354" s="118"/>
      <c r="B354" s="120"/>
      <c r="C354" s="119"/>
      <c r="D354" s="122"/>
      <c r="E354" s="121"/>
    </row>
    <row r="355" spans="1:5" x14ac:dyDescent="0.25">
      <c r="A355" s="118"/>
      <c r="B355" s="120"/>
      <c r="C355" s="119"/>
      <c r="D355" s="122"/>
      <c r="E355" s="121"/>
    </row>
  </sheetData>
  <pageMargins left="0.7" right="0.7" top="0.75" bottom="0.75" header="0.3" footer="0.3"/>
  <pageSetup orientation="portrait" horizontalDpi="300" verticalDpi="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tabColor rgb="FFFF0000"/>
  </sheetPr>
  <dimension ref="A1:AE3"/>
  <sheetViews>
    <sheetView workbookViewId="0">
      <selection activeCell="E27" sqref="E27"/>
    </sheetView>
  </sheetViews>
  <sheetFormatPr defaultColWidth="9.33203125" defaultRowHeight="13.2" x14ac:dyDescent="0.25"/>
  <cols>
    <col min="1" max="1" width="15.6640625" bestFit="1" customWidth="1"/>
    <col min="2" max="2" width="34.6640625" customWidth="1"/>
    <col min="3" max="3" width="13.6640625" customWidth="1"/>
    <col min="4" max="4" width="12.5546875" customWidth="1"/>
    <col min="5" max="5" width="21.44140625" customWidth="1"/>
    <col min="6" max="6" width="23.5546875" customWidth="1"/>
    <col min="8" max="8" width="13.33203125" customWidth="1"/>
    <col min="9" max="9" width="14.5546875" customWidth="1"/>
    <col min="10" max="10" width="10.44140625" customWidth="1"/>
    <col min="16" max="16" width="15.6640625" bestFit="1" customWidth="1"/>
    <col min="17" max="17" width="15.33203125" customWidth="1"/>
    <col min="18" max="18" width="13.5546875" bestFit="1" customWidth="1"/>
    <col min="21" max="21" width="23.33203125" customWidth="1"/>
    <col min="25" max="25" width="19.6640625" customWidth="1"/>
    <col min="26" max="26" width="10.6640625" customWidth="1"/>
    <col min="31" max="31" width="39.44140625" customWidth="1"/>
  </cols>
  <sheetData>
    <row r="1" spans="1:31" ht="29.4" x14ac:dyDescent="0.4">
      <c r="A1" s="205" t="s">
        <v>117</v>
      </c>
      <c r="B1" s="205"/>
      <c r="C1" s="205"/>
      <c r="D1" s="205"/>
      <c r="E1" s="205"/>
      <c r="F1" s="205"/>
      <c r="G1" s="205"/>
      <c r="H1" s="108" t="s">
        <v>54</v>
      </c>
      <c r="I1" s="109">
        <v>42164.584293981483</v>
      </c>
      <c r="J1" s="107"/>
      <c r="K1" s="107"/>
      <c r="L1" s="107"/>
    </row>
    <row r="2" spans="1:31" ht="15.6" x14ac:dyDescent="0.3">
      <c r="A2" s="206" t="s">
        <v>118</v>
      </c>
      <c r="B2" s="206"/>
      <c r="C2" s="206"/>
      <c r="D2" s="206"/>
      <c r="E2" s="206"/>
      <c r="F2" s="206"/>
      <c r="G2" s="206"/>
      <c r="H2" s="206"/>
      <c r="I2" s="206"/>
      <c r="J2" s="206"/>
      <c r="K2" s="206"/>
      <c r="L2" s="206"/>
      <c r="M2" s="206"/>
      <c r="N2" s="206"/>
      <c r="O2" s="206"/>
      <c r="P2" s="207" t="s">
        <v>81</v>
      </c>
      <c r="Q2" s="207"/>
      <c r="R2" s="207"/>
      <c r="S2" s="207"/>
      <c r="T2" s="207"/>
      <c r="U2" s="207"/>
      <c r="V2" s="207"/>
      <c r="W2" s="207"/>
      <c r="X2" s="207"/>
      <c r="Y2" s="207"/>
      <c r="Z2" s="207"/>
      <c r="AA2" s="207"/>
      <c r="AB2" s="207"/>
      <c r="AC2" s="207"/>
      <c r="AD2" s="207"/>
    </row>
    <row r="3" spans="1:31" ht="15.6" x14ac:dyDescent="0.3">
      <c r="A3" s="110" t="s">
        <v>119</v>
      </c>
      <c r="B3" s="110" t="s">
        <v>59</v>
      </c>
      <c r="C3" s="110" t="s">
        <v>120</v>
      </c>
      <c r="D3" s="110" t="s">
        <v>121</v>
      </c>
      <c r="E3" s="110" t="s">
        <v>63</v>
      </c>
      <c r="F3" s="110" t="s">
        <v>68</v>
      </c>
      <c r="G3" s="110" t="s">
        <v>69</v>
      </c>
      <c r="H3" s="110" t="s">
        <v>70</v>
      </c>
      <c r="I3" s="110" t="s">
        <v>71</v>
      </c>
      <c r="J3" s="110" t="s">
        <v>72</v>
      </c>
      <c r="K3" s="110" t="s">
        <v>73</v>
      </c>
      <c r="L3" s="110" t="s">
        <v>74</v>
      </c>
      <c r="M3" s="110" t="s">
        <v>75</v>
      </c>
      <c r="N3" s="110" t="s">
        <v>76</v>
      </c>
      <c r="O3" s="110" t="s">
        <v>77</v>
      </c>
      <c r="P3" s="110" t="s">
        <v>122</v>
      </c>
      <c r="Q3" s="110" t="s">
        <v>59</v>
      </c>
      <c r="R3" s="110" t="s">
        <v>57</v>
      </c>
      <c r="S3" s="110" t="s">
        <v>121</v>
      </c>
      <c r="T3" s="110" t="s">
        <v>63</v>
      </c>
      <c r="U3" s="110" t="s">
        <v>68</v>
      </c>
      <c r="V3" s="110" t="s">
        <v>69</v>
      </c>
      <c r="W3" s="110" t="s">
        <v>70</v>
      </c>
      <c r="X3" s="110" t="s">
        <v>71</v>
      </c>
      <c r="Y3" s="110" t="s">
        <v>72</v>
      </c>
      <c r="Z3" s="110" t="s">
        <v>73</v>
      </c>
      <c r="AA3" s="110" t="s">
        <v>74</v>
      </c>
      <c r="AB3" s="110" t="s">
        <v>75</v>
      </c>
      <c r="AC3" s="110" t="s">
        <v>76</v>
      </c>
      <c r="AD3" s="110" t="s">
        <v>77</v>
      </c>
      <c r="AE3" s="110" t="s">
        <v>78</v>
      </c>
    </row>
  </sheetData>
  <autoFilter ref="A3:AE3" xr:uid="{00000000-0009-0000-0000-000007000000}"/>
  <mergeCells count="3">
    <mergeCell ref="A1:G1"/>
    <mergeCell ref="A2:O2"/>
    <mergeCell ref="P2:AD2"/>
  </mergeCells>
  <pageMargins left="0.7" right="0.7" top="0.75" bottom="0.75" header="0.3" footer="0.3"/>
  <pageSetup orientation="portrait" horizontalDpi="30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rgb="FFFFC000"/>
  </sheetPr>
  <dimension ref="A1:Y5"/>
  <sheetViews>
    <sheetView workbookViewId="0">
      <selection activeCell="K45" sqref="K45"/>
    </sheetView>
  </sheetViews>
  <sheetFormatPr defaultColWidth="9.33203125" defaultRowHeight="13.2" x14ac:dyDescent="0.25"/>
  <cols>
    <col min="5" max="5" width="11.6640625" customWidth="1"/>
    <col min="14" max="14" width="14.5546875" bestFit="1" customWidth="1"/>
  </cols>
  <sheetData>
    <row r="1" spans="1:25" x14ac:dyDescent="0.25">
      <c r="A1" s="113" t="s">
        <v>123</v>
      </c>
      <c r="B1" s="114" t="s">
        <v>124</v>
      </c>
      <c r="C1" s="113" t="s">
        <v>125</v>
      </c>
      <c r="D1" s="113" t="s">
        <v>126</v>
      </c>
      <c r="E1" s="114" t="s">
        <v>127</v>
      </c>
      <c r="F1" s="113" t="s">
        <v>128</v>
      </c>
      <c r="G1" s="113" t="s">
        <v>129</v>
      </c>
      <c r="H1" s="113" t="s">
        <v>130</v>
      </c>
      <c r="I1" s="113" t="s">
        <v>131</v>
      </c>
      <c r="J1" s="113" t="s">
        <v>132</v>
      </c>
      <c r="K1" s="113" t="s">
        <v>133</v>
      </c>
      <c r="L1" s="113" t="s">
        <v>134</v>
      </c>
      <c r="M1" s="113" t="s">
        <v>135</v>
      </c>
      <c r="N1" s="113" t="s">
        <v>136</v>
      </c>
      <c r="O1" s="114" t="s">
        <v>137</v>
      </c>
      <c r="P1" s="113" t="s">
        <v>138</v>
      </c>
      <c r="Q1" s="114" t="s">
        <v>139</v>
      </c>
      <c r="R1" s="113" t="s">
        <v>140</v>
      </c>
      <c r="S1" s="113" t="s">
        <v>141</v>
      </c>
      <c r="T1" s="113" t="s">
        <v>142</v>
      </c>
      <c r="U1" s="114" t="s">
        <v>143</v>
      </c>
      <c r="V1" s="113" t="s">
        <v>144</v>
      </c>
      <c r="W1" s="113"/>
      <c r="X1" s="113"/>
      <c r="Y1" s="115"/>
    </row>
    <row r="2" spans="1:25" x14ac:dyDescent="0.25">
      <c r="A2">
        <v>2014</v>
      </c>
      <c r="B2">
        <v>1</v>
      </c>
      <c r="C2" s="112" t="s">
        <v>145</v>
      </c>
      <c r="D2" s="112" t="s">
        <v>146</v>
      </c>
      <c r="E2" s="112" t="s">
        <v>147</v>
      </c>
      <c r="F2">
        <v>1</v>
      </c>
      <c r="G2" s="112" t="s">
        <v>148</v>
      </c>
      <c r="H2" s="112" t="s">
        <v>149</v>
      </c>
      <c r="I2" s="112" t="s">
        <v>150</v>
      </c>
      <c r="J2" s="112" t="s">
        <v>151</v>
      </c>
      <c r="L2" t="s">
        <v>152</v>
      </c>
      <c r="M2" s="112" t="s">
        <v>153</v>
      </c>
      <c r="N2" s="112" t="s">
        <v>154</v>
      </c>
      <c r="O2" s="112" t="s">
        <v>155</v>
      </c>
      <c r="P2" s="112" t="s">
        <v>156</v>
      </c>
      <c r="Q2" s="112" t="s">
        <v>157</v>
      </c>
      <c r="R2" s="112" t="s">
        <v>158</v>
      </c>
      <c r="S2" s="112" t="s">
        <v>159</v>
      </c>
      <c r="T2" s="112" t="s">
        <v>160</v>
      </c>
      <c r="U2" s="112" t="s">
        <v>161</v>
      </c>
      <c r="V2">
        <v>780</v>
      </c>
    </row>
    <row r="3" spans="1:25" x14ac:dyDescent="0.25">
      <c r="A3">
        <v>2014</v>
      </c>
      <c r="B3">
        <v>1</v>
      </c>
      <c r="C3" s="112" t="s">
        <v>145</v>
      </c>
      <c r="D3" s="112" t="s">
        <v>146</v>
      </c>
      <c r="E3" s="112" t="s">
        <v>147</v>
      </c>
      <c r="F3">
        <v>1</v>
      </c>
      <c r="G3" s="112" t="s">
        <v>148</v>
      </c>
      <c r="H3" s="112" t="s">
        <v>149</v>
      </c>
      <c r="I3" s="112" t="s">
        <v>150</v>
      </c>
      <c r="J3" s="112" t="s">
        <v>162</v>
      </c>
      <c r="L3" t="s">
        <v>163</v>
      </c>
      <c r="M3" s="112" t="s">
        <v>164</v>
      </c>
      <c r="N3" s="112" t="s">
        <v>159</v>
      </c>
      <c r="O3" s="112" t="s">
        <v>159</v>
      </c>
      <c r="P3" s="112" t="s">
        <v>156</v>
      </c>
      <c r="Q3" s="112" t="s">
        <v>157</v>
      </c>
      <c r="R3" s="112" t="s">
        <v>158</v>
      </c>
      <c r="S3" s="112" t="s">
        <v>159</v>
      </c>
      <c r="T3" s="112" t="s">
        <v>160</v>
      </c>
      <c r="U3" s="112" t="s">
        <v>161</v>
      </c>
      <c r="V3">
        <v>200</v>
      </c>
    </row>
    <row r="4" spans="1:25" x14ac:dyDescent="0.25">
      <c r="A4">
        <v>2014</v>
      </c>
      <c r="B4">
        <v>1</v>
      </c>
      <c r="C4" s="112" t="s">
        <v>145</v>
      </c>
      <c r="D4" s="112" t="s">
        <v>146</v>
      </c>
      <c r="E4" s="112" t="s">
        <v>147</v>
      </c>
      <c r="F4">
        <v>1</v>
      </c>
      <c r="G4" s="112" t="s">
        <v>165</v>
      </c>
      <c r="H4" s="112" t="s">
        <v>166</v>
      </c>
      <c r="I4" s="112" t="s">
        <v>167</v>
      </c>
      <c r="J4" s="112" t="s">
        <v>168</v>
      </c>
      <c r="L4" t="s">
        <v>169</v>
      </c>
      <c r="M4" s="112" t="s">
        <v>170</v>
      </c>
      <c r="N4" s="112" t="s">
        <v>171</v>
      </c>
      <c r="O4" s="112" t="s">
        <v>172</v>
      </c>
      <c r="P4" s="112" t="s">
        <v>173</v>
      </c>
      <c r="Q4" s="112" t="s">
        <v>174</v>
      </c>
      <c r="R4" s="112" t="s">
        <v>158</v>
      </c>
      <c r="S4" s="112" t="s">
        <v>159</v>
      </c>
      <c r="T4" s="112" t="s">
        <v>175</v>
      </c>
      <c r="U4" s="112" t="s">
        <v>176</v>
      </c>
      <c r="V4">
        <v>25</v>
      </c>
    </row>
    <row r="5" spans="1:25" x14ac:dyDescent="0.25">
      <c r="A5">
        <v>2014</v>
      </c>
      <c r="B5">
        <v>1</v>
      </c>
      <c r="C5" s="112" t="s">
        <v>145</v>
      </c>
      <c r="D5" s="112" t="s">
        <v>146</v>
      </c>
      <c r="E5" s="112" t="s">
        <v>147</v>
      </c>
      <c r="F5">
        <v>1</v>
      </c>
      <c r="G5" s="112" t="s">
        <v>165</v>
      </c>
      <c r="H5" s="112" t="s">
        <v>166</v>
      </c>
      <c r="I5" s="112" t="s">
        <v>177</v>
      </c>
      <c r="J5" s="112" t="s">
        <v>178</v>
      </c>
      <c r="L5" s="112" t="s">
        <v>179</v>
      </c>
      <c r="M5" s="112" t="s">
        <v>180</v>
      </c>
      <c r="N5" s="112" t="s">
        <v>181</v>
      </c>
      <c r="O5" s="112" t="s">
        <v>182</v>
      </c>
      <c r="P5" s="112" t="s">
        <v>173</v>
      </c>
      <c r="Q5" s="112" t="s">
        <v>174</v>
      </c>
      <c r="R5" s="112" t="s">
        <v>158</v>
      </c>
      <c r="S5" s="112" t="s">
        <v>159</v>
      </c>
      <c r="T5" s="112" t="s">
        <v>183</v>
      </c>
      <c r="U5" s="112" t="s">
        <v>184</v>
      </c>
      <c r="V5">
        <v>5</v>
      </c>
    </row>
  </sheetData>
  <autoFilter ref="A1:Y5" xr:uid="{00000000-0009-0000-0000-000008000000}"/>
  <pageMargins left="0.7" right="0.7" top="0.75" bottom="0.75" header="0.3" footer="0.3"/>
  <pageSetup orientation="portrait" horizontalDpi="30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E10"/>
  <sheetViews>
    <sheetView workbookViewId="0">
      <selection activeCell="I27" sqref="I27:J29"/>
    </sheetView>
  </sheetViews>
  <sheetFormatPr defaultColWidth="9.33203125" defaultRowHeight="13.2" x14ac:dyDescent="0.25"/>
  <cols>
    <col min="2" max="2" width="9.6640625" bestFit="1" customWidth="1"/>
    <col min="3" max="3" width="35.33203125" customWidth="1"/>
    <col min="4" max="4" width="98.33203125" customWidth="1"/>
  </cols>
  <sheetData>
    <row r="1" spans="1:5" ht="21" x14ac:dyDescent="0.4">
      <c r="A1" s="100" t="s">
        <v>185</v>
      </c>
    </row>
    <row r="2" spans="1:5" ht="13.8" thickBot="1" x14ac:dyDescent="0.3"/>
    <row r="3" spans="1:5" ht="14.4" thickBot="1" x14ac:dyDescent="0.3">
      <c r="A3" s="101" t="s">
        <v>186</v>
      </c>
      <c r="B3" s="102" t="s">
        <v>187</v>
      </c>
      <c r="C3" s="102" t="s">
        <v>188</v>
      </c>
      <c r="D3" s="102" t="s">
        <v>189</v>
      </c>
    </row>
    <row r="4" spans="1:5" ht="13.8" thickBot="1" x14ac:dyDescent="0.3">
      <c r="A4" s="106" t="s">
        <v>190</v>
      </c>
      <c r="B4" s="103">
        <v>41873</v>
      </c>
      <c r="C4" s="104" t="s">
        <v>191</v>
      </c>
      <c r="D4" s="105" t="s">
        <v>192</v>
      </c>
    </row>
    <row r="5" spans="1:5" ht="79.8" thickBot="1" x14ac:dyDescent="0.3">
      <c r="A5" s="136" t="s">
        <v>193</v>
      </c>
      <c r="B5" s="103">
        <v>41950</v>
      </c>
      <c r="C5" s="128" t="s">
        <v>191</v>
      </c>
      <c r="D5" s="105" t="s">
        <v>194</v>
      </c>
    </row>
    <row r="6" spans="1:5" ht="13.8" thickBot="1" x14ac:dyDescent="0.3">
      <c r="A6" s="127" t="s">
        <v>195</v>
      </c>
      <c r="B6" s="103">
        <v>41977</v>
      </c>
      <c r="C6" s="128" t="s">
        <v>191</v>
      </c>
      <c r="D6" s="129" t="s">
        <v>196</v>
      </c>
    </row>
    <row r="7" spans="1:5" ht="53.4" thickBot="1" x14ac:dyDescent="0.3">
      <c r="A7" s="127" t="s">
        <v>197</v>
      </c>
      <c r="B7" s="137">
        <v>42004</v>
      </c>
      <c r="C7" s="128" t="s">
        <v>191</v>
      </c>
      <c r="D7" s="129" t="s">
        <v>198</v>
      </c>
    </row>
    <row r="8" spans="1:5" ht="13.8" thickBot="1" x14ac:dyDescent="0.3">
      <c r="A8" s="127" t="s">
        <v>199</v>
      </c>
      <c r="B8" s="137">
        <v>42009</v>
      </c>
      <c r="C8" s="128" t="s">
        <v>191</v>
      </c>
      <c r="D8" s="129" t="s">
        <v>200</v>
      </c>
      <c r="E8" s="28"/>
    </row>
    <row r="9" spans="1:5" ht="40.200000000000003" thickBot="1" x14ac:dyDescent="0.3">
      <c r="A9" s="127" t="s">
        <v>201</v>
      </c>
      <c r="B9" s="137">
        <v>42123</v>
      </c>
      <c r="C9" s="128" t="s">
        <v>191</v>
      </c>
      <c r="D9" s="129" t="s">
        <v>202</v>
      </c>
    </row>
    <row r="10" spans="1:5" ht="13.8" thickBot="1" x14ac:dyDescent="0.3">
      <c r="A10" s="127" t="s">
        <v>203</v>
      </c>
      <c r="B10" s="137">
        <v>42151</v>
      </c>
      <c r="C10" s="128" t="s">
        <v>204</v>
      </c>
      <c r="D10" s="129" t="s">
        <v>205</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B5:AG22"/>
  <sheetViews>
    <sheetView topLeftCell="L1" workbookViewId="0">
      <selection activeCell="AC29" sqref="AC29"/>
    </sheetView>
  </sheetViews>
  <sheetFormatPr defaultColWidth="9.33203125" defaultRowHeight="13.2" x14ac:dyDescent="0.25"/>
  <cols>
    <col min="3" max="3" width="25.33203125" bestFit="1" customWidth="1"/>
    <col min="7" max="7" width="14" customWidth="1"/>
  </cols>
  <sheetData>
    <row r="5" spans="2:33" x14ac:dyDescent="0.25">
      <c r="C5" s="1"/>
      <c r="D5" s="1"/>
      <c r="E5" s="1"/>
      <c r="F5" s="1"/>
      <c r="G5" s="1"/>
    </row>
    <row r="6" spans="2:33" x14ac:dyDescent="0.25">
      <c r="B6" s="212">
        <v>1</v>
      </c>
      <c r="C6" s="213" t="s">
        <v>20</v>
      </c>
      <c r="D6" s="19"/>
      <c r="E6" s="211" t="s">
        <v>206</v>
      </c>
      <c r="F6" s="211"/>
      <c r="G6" s="211"/>
      <c r="Z6" s="31">
        <v>1</v>
      </c>
      <c r="AA6" s="32">
        <v>53</v>
      </c>
      <c r="AB6" s="33">
        <v>52</v>
      </c>
      <c r="AC6" s="34">
        <v>51</v>
      </c>
      <c r="AD6" s="35">
        <v>49</v>
      </c>
      <c r="AE6" s="36">
        <v>11</v>
      </c>
      <c r="AF6" s="37">
        <v>55</v>
      </c>
      <c r="AG6" s="38">
        <v>56</v>
      </c>
    </row>
    <row r="7" spans="2:33" x14ac:dyDescent="0.25">
      <c r="B7" s="212"/>
      <c r="C7" s="214"/>
      <c r="D7" s="18"/>
      <c r="E7" s="17" t="s">
        <v>207</v>
      </c>
      <c r="F7" s="15"/>
      <c r="G7" s="15"/>
      <c r="Z7" s="39">
        <v>9</v>
      </c>
      <c r="AA7" s="40">
        <v>46</v>
      </c>
      <c r="AB7" s="41">
        <v>12</v>
      </c>
      <c r="AC7" s="42">
        <v>10</v>
      </c>
      <c r="AD7" s="43">
        <v>14</v>
      </c>
      <c r="AE7" s="44">
        <v>5</v>
      </c>
      <c r="AF7" s="45">
        <v>47</v>
      </c>
      <c r="AG7" s="46">
        <v>16</v>
      </c>
    </row>
    <row r="8" spans="2:33" x14ac:dyDescent="0.25">
      <c r="B8" s="212"/>
      <c r="C8" s="215"/>
      <c r="D8" s="16"/>
      <c r="E8" s="17" t="s">
        <v>208</v>
      </c>
      <c r="F8" s="15"/>
      <c r="G8" s="15"/>
      <c r="Z8" s="47">
        <v>3</v>
      </c>
      <c r="AA8" s="48">
        <v>45</v>
      </c>
      <c r="AB8" s="49">
        <v>43</v>
      </c>
      <c r="AC8" s="50">
        <v>50</v>
      </c>
      <c r="AD8" s="51">
        <v>42</v>
      </c>
      <c r="AE8" s="52">
        <v>41</v>
      </c>
      <c r="AF8" s="53">
        <v>13</v>
      </c>
      <c r="AG8" s="54">
        <v>48</v>
      </c>
    </row>
    <row r="9" spans="2:33" x14ac:dyDescent="0.25">
      <c r="Z9" s="55">
        <v>7</v>
      </c>
      <c r="AA9" s="56">
        <v>44</v>
      </c>
      <c r="AB9" s="57">
        <v>6</v>
      </c>
      <c r="AC9" s="58">
        <v>4</v>
      </c>
      <c r="AD9" s="59">
        <v>8</v>
      </c>
      <c r="AE9" s="60">
        <v>33</v>
      </c>
      <c r="AF9" s="61">
        <v>54</v>
      </c>
      <c r="AG9" s="62">
        <v>15</v>
      </c>
    </row>
    <row r="10" spans="2:33" x14ac:dyDescent="0.25">
      <c r="Z10" s="63">
        <v>38</v>
      </c>
      <c r="AA10" s="64">
        <v>40</v>
      </c>
      <c r="AB10" s="65">
        <v>36</v>
      </c>
      <c r="AC10" s="66">
        <v>35</v>
      </c>
      <c r="AD10" s="67">
        <v>34</v>
      </c>
      <c r="AE10" s="68">
        <v>37</v>
      </c>
      <c r="AF10" s="69">
        <v>39</v>
      </c>
      <c r="AG10" s="70">
        <v>2</v>
      </c>
    </row>
    <row r="11" spans="2:33" ht="25.5" customHeight="1" x14ac:dyDescent="0.25">
      <c r="Z11" s="208" t="s">
        <v>209</v>
      </c>
      <c r="AA11" s="209"/>
      <c r="AB11" s="209"/>
      <c r="AC11" s="209"/>
      <c r="AD11" s="209"/>
      <c r="AE11" s="209"/>
      <c r="AF11" s="209"/>
      <c r="AG11" s="210"/>
    </row>
    <row r="12" spans="2:33" x14ac:dyDescent="0.25">
      <c r="Z12" s="71">
        <v>17</v>
      </c>
      <c r="AA12" s="61">
        <v>18</v>
      </c>
      <c r="AB12" s="72">
        <v>19</v>
      </c>
      <c r="AC12" s="67">
        <v>20</v>
      </c>
      <c r="AD12" s="73">
        <v>21</v>
      </c>
      <c r="AE12" s="74">
        <v>22</v>
      </c>
      <c r="AF12" s="75">
        <v>23</v>
      </c>
      <c r="AG12" s="76">
        <v>24</v>
      </c>
    </row>
    <row r="13" spans="2:33" x14ac:dyDescent="0.25">
      <c r="Z13" s="36">
        <v>25</v>
      </c>
      <c r="AA13" s="55">
        <v>26</v>
      </c>
      <c r="AB13" s="57">
        <v>27</v>
      </c>
      <c r="AC13" s="59">
        <v>28</v>
      </c>
      <c r="AD13" s="53">
        <v>29</v>
      </c>
      <c r="AE13" s="39">
        <v>30</v>
      </c>
      <c r="AF13" s="43">
        <v>31</v>
      </c>
      <c r="AG13" s="44">
        <v>32</v>
      </c>
    </row>
    <row r="14" spans="2:33" ht="25.5" customHeight="1" x14ac:dyDescent="0.25">
      <c r="Z14" s="216" t="s">
        <v>210</v>
      </c>
      <c r="AA14" s="217"/>
      <c r="AB14" s="217"/>
      <c r="AC14" s="217"/>
      <c r="AD14" s="217"/>
      <c r="AE14" s="217"/>
      <c r="AF14" s="217"/>
      <c r="AG14" s="218"/>
    </row>
    <row r="15" spans="2:33" ht="26.4" x14ac:dyDescent="0.25">
      <c r="Z15" s="31" t="s">
        <v>211</v>
      </c>
      <c r="AA15" s="32" t="s">
        <v>37</v>
      </c>
      <c r="AB15" s="33" t="s">
        <v>212</v>
      </c>
      <c r="AC15" s="34" t="s">
        <v>213</v>
      </c>
      <c r="AD15" s="35" t="s">
        <v>214</v>
      </c>
      <c r="AE15" s="36" t="s">
        <v>215</v>
      </c>
      <c r="AF15" s="37" t="s">
        <v>216</v>
      </c>
      <c r="AG15" s="38" t="s">
        <v>217</v>
      </c>
    </row>
    <row r="16" spans="2:33" ht="26.4" x14ac:dyDescent="0.25">
      <c r="Z16" s="39" t="s">
        <v>218</v>
      </c>
      <c r="AA16" s="40" t="s">
        <v>27</v>
      </c>
      <c r="AB16" s="41" t="s">
        <v>219</v>
      </c>
      <c r="AC16" s="42" t="s">
        <v>220</v>
      </c>
      <c r="AD16" s="43" t="s">
        <v>221</v>
      </c>
      <c r="AE16" s="44" t="s">
        <v>222</v>
      </c>
      <c r="AF16" s="45" t="s">
        <v>223</v>
      </c>
      <c r="AG16" s="46" t="s">
        <v>224</v>
      </c>
    </row>
    <row r="17" spans="26:33" ht="26.4" x14ac:dyDescent="0.25">
      <c r="Z17" s="47" t="s">
        <v>22</v>
      </c>
      <c r="AA17" s="48" t="s">
        <v>32</v>
      </c>
      <c r="AB17" s="49" t="s">
        <v>225</v>
      </c>
      <c r="AC17" s="50" t="s">
        <v>226</v>
      </c>
      <c r="AD17" s="51" t="s">
        <v>227</v>
      </c>
      <c r="AE17" s="52" t="s">
        <v>228</v>
      </c>
      <c r="AF17" s="53" t="s">
        <v>229</v>
      </c>
      <c r="AG17" s="54" t="s">
        <v>230</v>
      </c>
    </row>
    <row r="18" spans="26:33" ht="26.4" x14ac:dyDescent="0.25">
      <c r="Z18" s="55" t="s">
        <v>231</v>
      </c>
      <c r="AA18" s="56" t="s">
        <v>232</v>
      </c>
      <c r="AB18" s="57" t="s">
        <v>35</v>
      </c>
      <c r="AC18" s="58" t="s">
        <v>233</v>
      </c>
      <c r="AD18" s="59" t="s">
        <v>234</v>
      </c>
      <c r="AE18" s="60" t="s">
        <v>44</v>
      </c>
      <c r="AF18" s="61" t="s">
        <v>235</v>
      </c>
      <c r="AG18" s="62" t="s">
        <v>236</v>
      </c>
    </row>
    <row r="19" spans="26:33" ht="39.6" x14ac:dyDescent="0.25">
      <c r="Z19" s="63" t="s">
        <v>237</v>
      </c>
      <c r="AA19" s="64" t="s">
        <v>238</v>
      </c>
      <c r="AB19" s="65" t="s">
        <v>42</v>
      </c>
      <c r="AC19" s="66" t="s">
        <v>239</v>
      </c>
      <c r="AD19" s="67" t="s">
        <v>240</v>
      </c>
      <c r="AE19" s="68" t="s">
        <v>241</v>
      </c>
      <c r="AF19" s="69" t="s">
        <v>242</v>
      </c>
      <c r="AG19" s="70" t="s">
        <v>243</v>
      </c>
    </row>
    <row r="20" spans="26:33" ht="12.75" customHeight="1" x14ac:dyDescent="0.25">
      <c r="Z20" s="208" t="s">
        <v>244</v>
      </c>
      <c r="AA20" s="209"/>
      <c r="AB20" s="209"/>
      <c r="AC20" s="209"/>
      <c r="AD20" s="209"/>
      <c r="AE20" s="209"/>
      <c r="AF20" s="209"/>
      <c r="AG20" s="210"/>
    </row>
    <row r="21" spans="26:33" ht="39.6" x14ac:dyDescent="0.25">
      <c r="Z21" s="71" t="s">
        <v>245</v>
      </c>
      <c r="AA21" s="61" t="s">
        <v>246</v>
      </c>
      <c r="AB21" s="72" t="s">
        <v>247</v>
      </c>
      <c r="AC21" s="67" t="s">
        <v>248</v>
      </c>
      <c r="AD21" s="73" t="s">
        <v>249</v>
      </c>
      <c r="AE21" s="74" t="s">
        <v>250</v>
      </c>
      <c r="AF21" s="75" t="s">
        <v>251</v>
      </c>
      <c r="AG21" s="76" t="s">
        <v>252</v>
      </c>
    </row>
    <row r="22" spans="26:33" ht="26.4" x14ac:dyDescent="0.25">
      <c r="Z22" s="36" t="s">
        <v>253</v>
      </c>
      <c r="AA22" s="55" t="s">
        <v>254</v>
      </c>
      <c r="AB22" s="57" t="s">
        <v>255</v>
      </c>
      <c r="AC22" s="59" t="s">
        <v>256</v>
      </c>
      <c r="AD22" s="53" t="s">
        <v>257</v>
      </c>
      <c r="AE22" s="39" t="s">
        <v>258</v>
      </c>
      <c r="AF22" s="43" t="s">
        <v>259</v>
      </c>
      <c r="AG22" s="44" t="s">
        <v>260</v>
      </c>
    </row>
  </sheetData>
  <mergeCells count="6">
    <mergeCell ref="Z20:AG20"/>
    <mergeCell ref="E6:G6"/>
    <mergeCell ref="B6:B8"/>
    <mergeCell ref="C6:C8"/>
    <mergeCell ref="Z11:AG11"/>
    <mergeCell ref="Z14:AG14"/>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dimension ref="A3:E74"/>
  <sheetViews>
    <sheetView workbookViewId="0">
      <selection activeCell="C12" sqref="C12"/>
    </sheetView>
  </sheetViews>
  <sheetFormatPr defaultColWidth="9.33203125" defaultRowHeight="13.2" x14ac:dyDescent="0.25"/>
  <cols>
    <col min="2" max="2" width="21.44140625" bestFit="1" customWidth="1"/>
    <col min="3" max="3" width="73.33203125" customWidth="1"/>
  </cols>
  <sheetData>
    <row r="3" spans="1:5" x14ac:dyDescent="0.25">
      <c r="C3" t="s">
        <v>261</v>
      </c>
      <c r="D3" t="s">
        <v>262</v>
      </c>
      <c r="E3" t="s">
        <v>263</v>
      </c>
    </row>
    <row r="4" spans="1:5" x14ac:dyDescent="0.25">
      <c r="A4">
        <v>1</v>
      </c>
      <c r="B4" t="s">
        <v>264</v>
      </c>
    </row>
    <row r="5" spans="1:5" x14ac:dyDescent="0.25">
      <c r="A5">
        <v>2</v>
      </c>
      <c r="B5" t="s">
        <v>265</v>
      </c>
      <c r="C5" t="s">
        <v>266</v>
      </c>
      <c r="D5" t="s">
        <v>267</v>
      </c>
      <c r="E5" s="28" t="s">
        <v>268</v>
      </c>
    </row>
    <row r="6" spans="1:5" x14ac:dyDescent="0.25">
      <c r="A6">
        <v>3</v>
      </c>
      <c r="B6" s="28" t="s">
        <v>269</v>
      </c>
      <c r="C6" s="28" t="s">
        <v>270</v>
      </c>
      <c r="D6" s="28" t="s">
        <v>271</v>
      </c>
    </row>
    <row r="7" spans="1:5" x14ac:dyDescent="0.25">
      <c r="A7">
        <v>4</v>
      </c>
      <c r="B7" s="28" t="s">
        <v>272</v>
      </c>
    </row>
    <row r="8" spans="1:5" x14ac:dyDescent="0.25">
      <c r="A8">
        <v>5</v>
      </c>
      <c r="B8" t="s">
        <v>273</v>
      </c>
    </row>
    <row r="16" spans="1:5" x14ac:dyDescent="0.25">
      <c r="B16" t="s">
        <v>274</v>
      </c>
      <c r="C16" s="28" t="s">
        <v>275</v>
      </c>
    </row>
    <row r="17" spans="2:3" x14ac:dyDescent="0.25">
      <c r="B17" t="s">
        <v>276</v>
      </c>
      <c r="C17" s="28" t="s">
        <v>277</v>
      </c>
    </row>
    <row r="26" spans="2:3" ht="13.8" x14ac:dyDescent="0.25">
      <c r="B26" s="107" t="s">
        <v>274</v>
      </c>
      <c r="C26" s="25" t="s">
        <v>46</v>
      </c>
    </row>
    <row r="27" spans="2:3" x14ac:dyDescent="0.25">
      <c r="B27" t="s">
        <v>278</v>
      </c>
      <c r="C27" s="111" t="s">
        <v>279</v>
      </c>
    </row>
    <row r="28" spans="2:3" x14ac:dyDescent="0.25">
      <c r="B28" t="s">
        <v>280</v>
      </c>
      <c r="C28" s="111" t="s">
        <v>281</v>
      </c>
    </row>
    <row r="29" spans="2:3" x14ac:dyDescent="0.25">
      <c r="B29" t="s">
        <v>282</v>
      </c>
      <c r="C29" s="111" t="s">
        <v>283</v>
      </c>
    </row>
    <row r="30" spans="2:3" x14ac:dyDescent="0.25">
      <c r="B30" t="s">
        <v>284</v>
      </c>
      <c r="C30" s="111" t="s">
        <v>285</v>
      </c>
    </row>
    <row r="31" spans="2:3" x14ac:dyDescent="0.25">
      <c r="B31" t="s">
        <v>286</v>
      </c>
      <c r="C31" s="111" t="s">
        <v>287</v>
      </c>
    </row>
    <row r="32" spans="2:3" x14ac:dyDescent="0.25">
      <c r="B32" t="s">
        <v>288</v>
      </c>
      <c r="C32" s="111" t="s">
        <v>289</v>
      </c>
    </row>
    <row r="33" spans="2:5" x14ac:dyDescent="0.25">
      <c r="B33" t="s">
        <v>290</v>
      </c>
      <c r="C33" s="111" t="s">
        <v>291</v>
      </c>
    </row>
    <row r="34" spans="2:5" x14ac:dyDescent="0.25">
      <c r="B34" t="s">
        <v>292</v>
      </c>
      <c r="C34" s="111" t="s">
        <v>293</v>
      </c>
    </row>
    <row r="35" spans="2:5" x14ac:dyDescent="0.25">
      <c r="B35" t="s">
        <v>294</v>
      </c>
      <c r="C35" s="111" t="s">
        <v>295</v>
      </c>
    </row>
    <row r="36" spans="2:5" x14ac:dyDescent="0.25">
      <c r="B36" t="s">
        <v>296</v>
      </c>
      <c r="C36" s="111" t="s">
        <v>297</v>
      </c>
    </row>
    <row r="37" spans="2:5" x14ac:dyDescent="0.25">
      <c r="B37" t="s">
        <v>298</v>
      </c>
      <c r="C37" s="111" t="s">
        <v>299</v>
      </c>
    </row>
    <row r="38" spans="2:5" x14ac:dyDescent="0.25">
      <c r="B38" t="s">
        <v>300</v>
      </c>
      <c r="C38" s="111" t="s">
        <v>301</v>
      </c>
    </row>
    <row r="39" spans="2:5" x14ac:dyDescent="0.25">
      <c r="B39" t="s">
        <v>302</v>
      </c>
      <c r="C39" s="111" t="s">
        <v>303</v>
      </c>
    </row>
    <row r="40" spans="2:5" x14ac:dyDescent="0.25">
      <c r="B40" t="s">
        <v>304</v>
      </c>
      <c r="C40" s="111" t="s">
        <v>305</v>
      </c>
    </row>
    <row r="41" spans="2:5" x14ac:dyDescent="0.25">
      <c r="B41" t="s">
        <v>306</v>
      </c>
      <c r="C41" s="111" t="s">
        <v>307</v>
      </c>
    </row>
    <row r="42" spans="2:5" x14ac:dyDescent="0.25">
      <c r="B42" t="s">
        <v>308</v>
      </c>
      <c r="C42" s="111" t="s">
        <v>309</v>
      </c>
    </row>
    <row r="43" spans="2:5" x14ac:dyDescent="0.25">
      <c r="B43" t="s">
        <v>310</v>
      </c>
      <c r="C43" s="111" t="s">
        <v>311</v>
      </c>
    </row>
    <row r="44" spans="2:5" x14ac:dyDescent="0.25">
      <c r="B44" t="s">
        <v>312</v>
      </c>
      <c r="C44" s="111" t="s">
        <v>313</v>
      </c>
    </row>
    <row r="47" spans="2:5" ht="13.8" x14ac:dyDescent="0.25">
      <c r="B47" s="107" t="s">
        <v>276</v>
      </c>
      <c r="C47" s="25" t="s">
        <v>46</v>
      </c>
    </row>
    <row r="48" spans="2:5" x14ac:dyDescent="0.25">
      <c r="B48" s="28" t="s">
        <v>314</v>
      </c>
      <c r="C48" s="111" t="s">
        <v>315</v>
      </c>
      <c r="E48" s="28"/>
    </row>
    <row r="49" spans="2:3" x14ac:dyDescent="0.25">
      <c r="B49" s="28" t="s">
        <v>316</v>
      </c>
      <c r="C49" s="111" t="s">
        <v>317</v>
      </c>
    </row>
    <row r="50" spans="2:3" x14ac:dyDescent="0.25">
      <c r="B50" s="28" t="s">
        <v>318</v>
      </c>
      <c r="C50" s="111" t="s">
        <v>319</v>
      </c>
    </row>
    <row r="51" spans="2:3" x14ac:dyDescent="0.25">
      <c r="B51" s="28" t="s">
        <v>320</v>
      </c>
      <c r="C51" s="111" t="s">
        <v>321</v>
      </c>
    </row>
    <row r="52" spans="2:3" x14ac:dyDescent="0.25">
      <c r="B52" s="28" t="s">
        <v>322</v>
      </c>
      <c r="C52" s="111" t="s">
        <v>323</v>
      </c>
    </row>
    <row r="53" spans="2:3" x14ac:dyDescent="0.25">
      <c r="B53" s="28" t="s">
        <v>324</v>
      </c>
      <c r="C53" s="111" t="s">
        <v>325</v>
      </c>
    </row>
    <row r="54" spans="2:3" x14ac:dyDescent="0.25">
      <c r="B54" s="28" t="s">
        <v>326</v>
      </c>
      <c r="C54" s="111" t="s">
        <v>327</v>
      </c>
    </row>
    <row r="55" spans="2:3" x14ac:dyDescent="0.25">
      <c r="B55" s="28" t="s">
        <v>328</v>
      </c>
      <c r="C55" s="111" t="s">
        <v>329</v>
      </c>
    </row>
    <row r="56" spans="2:3" x14ac:dyDescent="0.25">
      <c r="B56" s="28" t="s">
        <v>330</v>
      </c>
      <c r="C56" s="111" t="s">
        <v>331</v>
      </c>
    </row>
    <row r="57" spans="2:3" x14ac:dyDescent="0.25">
      <c r="B57" s="28" t="s">
        <v>332</v>
      </c>
      <c r="C57" s="111" t="s">
        <v>333</v>
      </c>
    </row>
    <row r="58" spans="2:3" x14ac:dyDescent="0.25">
      <c r="B58" s="28" t="s">
        <v>334</v>
      </c>
      <c r="C58" s="111" t="s">
        <v>335</v>
      </c>
    </row>
    <row r="59" spans="2:3" x14ac:dyDescent="0.25">
      <c r="B59" s="28" t="s">
        <v>336</v>
      </c>
      <c r="C59" s="111" t="s">
        <v>337</v>
      </c>
    </row>
    <row r="60" spans="2:3" x14ac:dyDescent="0.25">
      <c r="B60" s="28" t="s">
        <v>338</v>
      </c>
      <c r="C60" s="111" t="s">
        <v>339</v>
      </c>
    </row>
    <row r="61" spans="2:3" x14ac:dyDescent="0.25">
      <c r="B61" s="28" t="s">
        <v>340</v>
      </c>
      <c r="C61" s="111" t="s">
        <v>341</v>
      </c>
    </row>
    <row r="62" spans="2:3" x14ac:dyDescent="0.25">
      <c r="B62" s="28" t="s">
        <v>342</v>
      </c>
      <c r="C62" s="111" t="s">
        <v>343</v>
      </c>
    </row>
    <row r="63" spans="2:3" x14ac:dyDescent="0.25">
      <c r="B63" s="28" t="s">
        <v>344</v>
      </c>
      <c r="C63" s="111" t="s">
        <v>345</v>
      </c>
    </row>
    <row r="64" spans="2:3" x14ac:dyDescent="0.25">
      <c r="B64" s="28" t="s">
        <v>346</v>
      </c>
      <c r="C64" s="111" t="s">
        <v>347</v>
      </c>
    </row>
    <row r="65" spans="2:3" x14ac:dyDescent="0.25">
      <c r="B65" s="28" t="s">
        <v>348</v>
      </c>
      <c r="C65" s="111" t="s">
        <v>349</v>
      </c>
    </row>
    <row r="66" spans="2:3" x14ac:dyDescent="0.25">
      <c r="B66" s="28" t="s">
        <v>350</v>
      </c>
      <c r="C66" s="111" t="s">
        <v>351</v>
      </c>
    </row>
    <row r="67" spans="2:3" x14ac:dyDescent="0.25">
      <c r="B67" s="28" t="s">
        <v>352</v>
      </c>
      <c r="C67" s="111" t="s">
        <v>353</v>
      </c>
    </row>
    <row r="72" spans="2:3" x14ac:dyDescent="0.25">
      <c r="B72">
        <v>1</v>
      </c>
      <c r="C72" t="s">
        <v>354</v>
      </c>
    </row>
    <row r="73" spans="2:3" x14ac:dyDescent="0.25">
      <c r="B73">
        <v>2</v>
      </c>
      <c r="C73" t="s">
        <v>355</v>
      </c>
    </row>
    <row r="74" spans="2:3" x14ac:dyDescent="0.25">
      <c r="B74">
        <v>3</v>
      </c>
      <c r="C74" s="116" t="s">
        <v>356</v>
      </c>
    </row>
  </sheetData>
  <pageMargins left="0.7" right="0.7" top="0.75" bottom="0.75" header="0.3" footer="0.3"/>
  <pageSetup orientation="portrait" horizontalDpi="300" verticalDpi="0"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dimension ref="A1"/>
  <sheetViews>
    <sheetView showGridLines="0" workbookViewId="0">
      <selection activeCell="L30" sqref="L30"/>
    </sheetView>
  </sheetViews>
  <sheetFormatPr defaultColWidth="9.33203125" defaultRowHeight="13.2" x14ac:dyDescent="0.25"/>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Createdby xmlns="e778705b-2a5b-45af-8ed8-9e855c4502e2">
      <UserInfo>
        <DisplayName/>
        <AccountId xsi:nil="true"/>
        <AccountType/>
      </UserInfo>
    </Createdby>
    <lcf76f155ced4ddcb4097134ff3c332f xmlns="e778705b-2a5b-45af-8ed8-9e855c4502e2">
      <Terms xmlns="http://schemas.microsoft.com/office/infopath/2007/PartnerControls"/>
    </lcf76f155ced4ddcb4097134ff3c332f>
    <Remark xmlns="e778705b-2a5b-45af-8ed8-9e855c4502e2">Training Plan &amp; Competency Assessment</Remark>
    <TaxCatchAll xmlns="687b4055-e6d0-4186-b79c-5263f3729294"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50025672DBC8C440A7808D34593C3A3D" ma:contentTypeVersion="19" ma:contentTypeDescription="Create a new document." ma:contentTypeScope="" ma:versionID="374bf176e18cfc4c1e3ba90e58a89e6a">
  <xsd:schema xmlns:xsd="http://www.w3.org/2001/XMLSchema" xmlns:xs="http://www.w3.org/2001/XMLSchema" xmlns:p="http://schemas.microsoft.com/office/2006/metadata/properties" xmlns:ns2="e778705b-2a5b-45af-8ed8-9e855c4502e2" xmlns:ns3="687b4055-e6d0-4186-b79c-5263f3729294" targetNamespace="http://schemas.microsoft.com/office/2006/metadata/properties" ma:root="true" ma:fieldsID="fc99574544ef0af5f35febda93c3acae" ns2:_="" ns3:_="">
    <xsd:import namespace="e778705b-2a5b-45af-8ed8-9e855c4502e2"/>
    <xsd:import namespace="687b4055-e6d0-4186-b79c-5263f372929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lcf76f155ced4ddcb4097134ff3c332f" minOccurs="0"/>
                <xsd:element ref="ns3:TaxCatchAll" minOccurs="0"/>
                <xsd:element ref="ns2:MediaServiceDateTaken" minOccurs="0"/>
                <xsd:element ref="ns2:MediaLengthInSeconds" minOccurs="0"/>
                <xsd:element ref="ns3:SharedWithUsers" minOccurs="0"/>
                <xsd:element ref="ns3:SharedWithDetails" minOccurs="0"/>
                <xsd:element ref="ns2:Remark" minOccurs="0"/>
                <xsd:element ref="ns2:MediaServiceObjectDetectorVersions" minOccurs="0"/>
                <xsd:element ref="ns2:Createdby" minOccurs="0"/>
                <xsd:element ref="ns2:MediaServiceLocation"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778705b-2a5b-45af-8ed8-9e855c4502e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ce50c28b-242c-4b51-be91-908d422433a4" ma:termSetId="09814cd3-568e-fe90-9814-8d621ff8fb84" ma:anchorId="fba54fb3-c3e1-fe81-a776-ca4b69148c4d" ma:open="true" ma:isKeyword="false">
      <xsd:complexType>
        <xsd:sequence>
          <xsd:element ref="pc:Terms" minOccurs="0" maxOccurs="1"/>
        </xsd:sequence>
      </xsd:complexType>
    </xsd:element>
    <xsd:element name="MediaServiceDateTaken" ma:index="17" nillable="true" ma:displayName="MediaServiceDateTaken" ma:hidden="true" ma:internalName="MediaServiceDateTaken"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Remark" ma:index="21" nillable="true" ma:displayName="Remark" ma:default="Training Plan &amp; Competency Assessment" ma:format="Dropdown" ma:internalName="Remark">
      <xsd:simpleType>
        <xsd:restriction base="dms:Text">
          <xsd:maxLength value="255"/>
        </xsd:restriction>
      </xsd:simple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element name="Createdby" ma:index="23" nillable="true" ma:displayName="Created by" ma:format="Dropdown" ma:list="UserInfo" ma:SharePointGroup="0" ma:internalName="Createdby">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MediaServiceLocation" ma:index="24" nillable="true" ma:displayName="Location" ma:indexed="true" ma:internalName="MediaServiceLocation"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687b4055-e6d0-4186-b79c-5263f3729294" elementFormDefault="qualified">
    <xsd:import namespace="http://schemas.microsoft.com/office/2006/documentManagement/types"/>
    <xsd:import namespace="http://schemas.microsoft.com/office/infopath/2007/PartnerControls"/>
    <xsd:element name="TaxCatchAll" ma:index="16" nillable="true" ma:displayName="Taxonomy Catch All Column" ma:hidden="true" ma:list="{b9d07ca0-47f5-4bda-8f1a-eb3d574a8b90}" ma:internalName="TaxCatchAll" ma:showField="CatchAllData" ma:web="687b4055-e6d0-4186-b79c-5263f3729294">
      <xsd:complexType>
        <xsd:complexContent>
          <xsd:extension base="dms:MultiChoiceLookup">
            <xsd:sequence>
              <xsd:element name="Value" type="dms:Lookup" maxOccurs="unbounded" minOccurs="0" nillable="true"/>
            </xsd:sequence>
          </xsd:extension>
        </xsd:complexContent>
      </xsd:complexType>
    </xsd:element>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1F3E1B8-1ED0-4846-9271-001B992638F0}">
  <ds:schemaRefs>
    <ds:schemaRef ds:uri="http://schemas.microsoft.com/office/2006/metadata/properties"/>
    <ds:schemaRef ds:uri="http://schemas.microsoft.com/office/infopath/2007/PartnerControls"/>
    <ds:schemaRef ds:uri="http://schemas.openxmlformats.org/package/2006/metadata/core-properties"/>
    <ds:schemaRef ds:uri="http://www.w3.org/XML/1998/namespace"/>
    <ds:schemaRef ds:uri="http://purl.org/dc/terms/"/>
    <ds:schemaRef ds:uri="http://purl.org/dc/elements/1.1/"/>
    <ds:schemaRef ds:uri="e778705b-2a5b-45af-8ed8-9e855c4502e2"/>
    <ds:schemaRef ds:uri="687b4055-e6d0-4186-b79c-5263f3729294"/>
    <ds:schemaRef ds:uri="http://schemas.microsoft.com/office/2006/documentManagement/types"/>
    <ds:schemaRef ds:uri="http://purl.org/dc/dcmitype/"/>
  </ds:schemaRefs>
</ds:datastoreItem>
</file>

<file path=customXml/itemProps2.xml><?xml version="1.0" encoding="utf-8"?>
<ds:datastoreItem xmlns:ds="http://schemas.openxmlformats.org/officeDocument/2006/customXml" ds:itemID="{E4EE2DD3-DF3E-4C08-BFDB-F25F52EABD6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778705b-2a5b-45af-8ed8-9e855c4502e2"/>
    <ds:schemaRef ds:uri="687b4055-e6d0-4186-b79c-5263f372929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38EC1F2-1AD6-45F8-9738-4B7048B9762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vt:i4>
      </vt:variant>
    </vt:vector>
  </HeadingPairs>
  <TitlesOfParts>
    <vt:vector size="15" baseType="lpstr">
      <vt:lpstr>Main</vt:lpstr>
      <vt:lpstr>GetInfo</vt:lpstr>
      <vt:lpstr>Kanban_Format</vt:lpstr>
      <vt:lpstr>Summary</vt:lpstr>
      <vt:lpstr>Issue</vt:lpstr>
      <vt:lpstr>Release</vt:lpstr>
      <vt:lpstr>WorkItem</vt:lpstr>
      <vt:lpstr>Estimate_vs_Booked</vt:lpstr>
      <vt:lpstr>DFM_Report</vt:lpstr>
      <vt:lpstr>PromicsData</vt:lpstr>
      <vt:lpstr>ChangeHistory</vt:lpstr>
      <vt:lpstr>ColorCoding</vt:lpstr>
      <vt:lpstr>Sheet1</vt:lpstr>
      <vt:lpstr>Help</vt:lpstr>
      <vt:lpstr>Kanban_Format!Print_Titles</vt:lpstr>
    </vt:vector>
  </TitlesOfParts>
  <Manager/>
  <Company>BOSCH Group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Swamy Putta</dc:creator>
  <cp:keywords/>
  <dc:description/>
  <cp:lastModifiedBy>Dang Sy Binh (MS/EPC42-PS)</cp:lastModifiedBy>
  <cp:revision/>
  <dcterms:created xsi:type="dcterms:W3CDTF">2011-10-07T12:47:27Z</dcterms:created>
  <dcterms:modified xsi:type="dcterms:W3CDTF">2025-11-28T09:32:47Z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0x01010050025672DBC8C440A7808D34593C3A3D</vt:lpwstr>
  </property>
  <property fmtid="{D5CDD505-2E9C-101B-9397-08002B2CF9AE}" pid="3" name="MediaServiceImageTags">
    <vt:lpwstr/>
  </property>
</Properties>
</file>